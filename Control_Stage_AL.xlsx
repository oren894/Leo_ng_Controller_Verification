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" sheetId="3" state="visible" r:id="rId3"/>
    <sheet xmlns:r="http://schemas.openxmlformats.org/officeDocument/2006/relationships" name="Spec Questions" sheetId="4" state="visible" r:id="rId4"/>
  </sheets>
  <definedNames>
    <definedName name="_xlnm._FilterDatabase" localSheetId="2" hidden="1">'AL'!$A$5:$H$68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F3864"/>
      <sz val="9"/>
    </font>
    <font>
      <name val="Arial"/>
      <b val="1"/>
      <color rgb="00833C0B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color rgb="00595959"/>
      <sz val="10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546A"/>
        <bgColor rgb="0044546A"/>
      </patternFill>
    </fill>
    <fill>
      <patternFill patternType="solid">
        <fgColor rgb="00EEF2F8"/>
        <bgColor rgb="00EEF2F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5FA"/>
        <bgColor rgb="00F2F5FA"/>
      </patternFill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EEF2F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5FA"/>
      </patternFill>
    </fill>
  </fills>
  <borders count="15">
    <border>
      <left/>
      <right/>
      <top/>
      <bottom/>
      <diagonal/>
    </border>
    <border>
      <left style="thick">
        <color rgb="00EEF2F8"/>
      </left>
      <right style="thick">
        <color rgb="00EEF2F8"/>
      </right>
      <top style="thick">
        <color rgb="00EEF2F8"/>
      </top>
      <bottom style="thick">
        <color rgb="00EEF2F8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 style="thin"/>
      <right style="thin"/>
      <top style="thin"/>
      <bottom style="thin"/>
    </border>
    <border>
      <top style="medium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14" fillId="0" borderId="0" applyAlignment="1" pivotButton="0" quotePrefix="0" xfId="0">
      <alignment vertical="top" wrapText="1"/>
    </xf>
    <xf numFmtId="0" fontId="9" fillId="2" borderId="4" applyAlignment="1" pivotButton="0" quotePrefix="0" xfId="0">
      <alignment vertical="center" indent="1"/>
    </xf>
    <xf numFmtId="0" fontId="12" fillId="0" borderId="4" applyAlignment="1" pivotButton="0" quotePrefix="0" xfId="0">
      <alignment vertical="center" wrapText="1" indent="1"/>
    </xf>
    <xf numFmtId="0" fontId="11" fillId="0" borderId="4" applyAlignment="1" pivotButton="0" quotePrefix="0" xfId="0">
      <alignment vertical="center" wrapText="1" indent="1"/>
    </xf>
    <xf numFmtId="0" fontId="12" fillId="12" borderId="4" applyAlignment="1" pivotButton="0" quotePrefix="0" xfId="0">
      <alignment vertical="center" wrapText="1" indent="1"/>
    </xf>
    <xf numFmtId="0" fontId="11" fillId="12" borderId="4" applyAlignment="1" pivotButton="0" quotePrefix="0" xfId="0">
      <alignment vertical="center" wrapText="1" indent="1"/>
    </xf>
    <xf numFmtId="0" fontId="10" fillId="10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 wrapText="1" indent="1"/>
    </xf>
    <xf numFmtId="0" fontId="14" fillId="0" borderId="0" pivotButton="0" quotePrefix="0" xfId="0"/>
    <xf numFmtId="0" fontId="9" fillId="2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indent="1"/>
    </xf>
    <xf numFmtId="0" fontId="13" fillId="0" borderId="4" applyAlignment="1" pivotButton="0" quotePrefix="0" xfId="0">
      <alignment horizontal="center" vertical="center"/>
    </xf>
    <xf numFmtId="9" fontId="13" fillId="0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 indent="1"/>
    </xf>
    <xf numFmtId="0" fontId="13" fillId="12" borderId="4" applyAlignment="1" pivotButton="0" quotePrefix="0" xfId="0">
      <alignment horizontal="center" vertical="center"/>
    </xf>
    <xf numFmtId="9" fontId="13" fillId="12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indent="1"/>
    </xf>
    <xf numFmtId="0" fontId="15" fillId="10" borderId="4" applyAlignment="1" pivotButton="0" quotePrefix="0" xfId="0">
      <alignment horizontal="center" vertical="center"/>
    </xf>
    <xf numFmtId="9" fontId="15" fillId="10" borderId="4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horizontal="righ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10" borderId="3" applyAlignment="1" pivotButton="0" quotePrefix="0" xfId="0">
      <alignment vertical="center" indent="1"/>
    </xf>
    <xf numFmtId="0" fontId="0" fillId="0" borderId="3" pivotButton="0" quotePrefix="0" xfId="0"/>
    <xf numFmtId="0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vertical="center" wrapText="1"/>
    </xf>
    <xf numFmtId="0" fontId="13" fillId="11" borderId="4" applyAlignment="1" pivotButton="0" quotePrefix="0" xfId="0">
      <alignment vertical="center" wrapText="1"/>
    </xf>
    <xf numFmtId="0" fontId="11" fillId="11" borderId="4" applyAlignment="1" pivotButton="0" quotePrefix="0" xfId="0">
      <alignment vertical="center" wrapText="1"/>
    </xf>
    <xf numFmtId="0" fontId="11" fillId="11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vertical="center" wrapText="1"/>
    </xf>
    <xf numFmtId="0" fontId="13" fillId="12" borderId="4" applyAlignment="1" pivotButton="0" quotePrefix="0" xfId="0">
      <alignment vertical="center" wrapText="1"/>
    </xf>
    <xf numFmtId="0" fontId="11" fillId="12" borderId="4" applyAlignment="1" pivotButton="0" quotePrefix="0" xfId="0">
      <alignment vertical="center" wrapText="1"/>
    </xf>
    <xf numFmtId="0" fontId="11" fillId="1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13" borderId="0" applyAlignment="1" pivotButton="0" quotePrefix="0" xfId="0">
      <alignment vertical="center"/>
    </xf>
    <xf numFmtId="0" fontId="17" fillId="0" borderId="0" pivotButton="0" quotePrefix="0" xfId="0"/>
    <xf numFmtId="0" fontId="9" fillId="13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left" vertical="center"/>
    </xf>
    <xf numFmtId="0" fontId="13" fillId="0" borderId="10" applyAlignment="1" pivotButton="0" quotePrefix="0" xfId="0">
      <alignment horizontal="center" vertical="center"/>
    </xf>
    <xf numFmtId="9" fontId="13" fillId="0" borderId="10" applyAlignment="1" pivotButton="0" quotePrefix="0" xfId="0">
      <alignment horizontal="center" vertical="center"/>
    </xf>
    <xf numFmtId="0" fontId="12" fillId="21" borderId="10" applyAlignment="1" pivotButton="0" quotePrefix="0" xfId="0">
      <alignment horizontal="left" vertical="center"/>
    </xf>
    <xf numFmtId="0" fontId="15" fillId="21" borderId="10" applyAlignment="1" pivotButton="0" quotePrefix="0" xfId="0">
      <alignment horizontal="center" vertical="center"/>
    </xf>
    <xf numFmtId="9" fontId="15" fillId="21" borderId="10" applyAlignment="1" pivotButton="0" quotePrefix="0" xfId="0">
      <alignment horizontal="center" vertical="center"/>
    </xf>
    <xf numFmtId="0" fontId="10" fillId="0" borderId="0" pivotButton="0" quotePrefix="0" xfId="0"/>
    <xf numFmtId="0" fontId="9" fillId="13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9" fontId="11" fillId="0" borderId="10" applyAlignment="1" pivotButton="0" quotePrefix="0" xfId="0">
      <alignment horizontal="center" vertical="center"/>
    </xf>
    <xf numFmtId="0" fontId="16" fillId="14" borderId="0" applyAlignment="1" pivotButton="0" quotePrefix="0" xfId="0">
      <alignment vertical="center" wrapText="1"/>
    </xf>
    <xf numFmtId="0" fontId="3" fillId="15" borderId="0" applyAlignment="1" pivotButton="0" quotePrefix="0" xfId="0">
      <alignment horizontal="right" wrapText="1"/>
    </xf>
    <xf numFmtId="0" fontId="4" fillId="16" borderId="0" applyAlignment="1" pivotButton="0" quotePrefix="0" xfId="0">
      <alignment horizontal="center" wrapText="1"/>
    </xf>
    <xf numFmtId="0" fontId="5" fillId="17" borderId="0" applyAlignment="1" pivotButton="0" quotePrefix="0" xfId="0">
      <alignment horizontal="center" wrapText="1"/>
    </xf>
    <xf numFmtId="0" fontId="6" fillId="18" borderId="0" applyAlignment="1" pivotButton="0" quotePrefix="0" xfId="0">
      <alignment horizontal="center" wrapText="1"/>
    </xf>
    <xf numFmtId="0" fontId="3" fillId="15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wrapText="1"/>
    </xf>
    <xf numFmtId="0" fontId="8" fillId="20" borderId="0" applyAlignment="1" pivotButton="0" quotePrefix="0" xfId="0">
      <alignment horizontal="center" wrapText="1"/>
    </xf>
    <xf numFmtId="0" fontId="10" fillId="21" borderId="11" applyAlignment="1" pivotButton="0" quotePrefix="0" xfId="0">
      <alignment vertical="center" wrapText="1"/>
    </xf>
    <xf numFmtId="0" fontId="0" fillId="0" borderId="11" pivotButton="0" quotePrefix="0" xfId="0"/>
    <xf numFmtId="0" fontId="12" fillId="22" borderId="10" applyAlignment="1" pivotButton="0" quotePrefix="0" xfId="0">
      <alignment horizontal="center" vertical="center" wrapText="1"/>
    </xf>
    <xf numFmtId="0" fontId="12" fillId="22" borderId="10" applyAlignment="1" pivotButton="0" quotePrefix="0" xfId="0">
      <alignment vertical="center" wrapText="1"/>
    </xf>
    <xf numFmtId="0" fontId="11" fillId="22" borderId="10" applyAlignment="1" pivotButton="0" quotePrefix="0" xfId="0">
      <alignment vertical="center" wrapText="1"/>
    </xf>
    <xf numFmtId="0" fontId="11" fillId="22" borderId="10" applyAlignment="1" pivotButton="0" quotePrefix="0" xfId="0">
      <alignment horizontal="center" vertical="center" wrapText="1"/>
    </xf>
    <xf numFmtId="0" fontId="12" fillId="23" borderId="10" applyAlignment="1" pivotButton="0" quotePrefix="0" xfId="0">
      <alignment horizontal="center" vertical="center" wrapText="1"/>
    </xf>
    <xf numFmtId="0" fontId="12" fillId="23" borderId="10" applyAlignment="1" pivotButton="0" quotePrefix="0" xfId="0">
      <alignment vertical="center" wrapText="1"/>
    </xf>
    <xf numFmtId="0" fontId="11" fillId="23" borderId="10" applyAlignment="1" pivotButton="0" quotePrefix="0" xfId="0">
      <alignment vertical="center" wrapText="1"/>
    </xf>
    <xf numFmtId="0" fontId="11" fillId="23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13" borderId="0" pivotButton="0" quotePrefix="0" xfId="0"/>
    <xf numFmtId="0" fontId="16" fillId="14" borderId="0" pivotButton="0" quotePrefix="0" xfId="0"/>
    <xf numFmtId="0" fontId="18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vertical="center" wrapText="1"/>
    </xf>
  </cellXfs>
  <cellStyles count="1">
    <cellStyle name="Normal" xfId="0" builtinId="0" hidden="0"/>
  </cellStyles>
  <dxfs count="10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375623"/>
      </font>
      <fill>
        <patternFill patternType="solid">
          <fgColor rgb="00C6E0B4"/>
          <bgColor rgb="00C6E0B4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How to Write an Attribute List</t>
        </is>
      </c>
    </row>
    <row r="2" ht="48" customHeight="1">
      <c r="A2" s="2" t="inlineStr">
        <is>
          <t>An Attribute List (AL) lists every behavior of the module that verification must prove. It is written from the spec, BEFORE the Verification Plan and the environment: the VP (stimulus scenarios, checkers, coverage) is built from the AL.</t>
        </is>
      </c>
    </row>
    <row r="4">
      <c r="A4" s="3" t="inlineStr">
        <is>
          <t>Column</t>
        </is>
      </c>
      <c r="B4" s="3" t="inlineStr">
        <is>
          <t>Meaning</t>
        </is>
      </c>
    </row>
    <row r="5" ht="30" customHeight="1">
      <c r="A5" s="4" t="inlineStr">
        <is>
          <t>ID</t>
        </is>
      </c>
      <c r="B5" s="5" t="inlineStr">
        <is>
          <t>Unique attribute ID (group prefix + number). Referenced from the VP and from test logs.</t>
        </is>
      </c>
    </row>
    <row r="6" ht="30" customHeight="1">
      <c r="A6" s="6" t="inlineStr">
        <is>
          <t>Group</t>
        </is>
      </c>
      <c r="B6" s="7" t="inlineStr">
        <is>
          <t>Logical grouping of attributes (by feature, lane, attribute type, …).</t>
        </is>
      </c>
    </row>
    <row r="7" ht="30" customHeight="1">
      <c r="A7" s="4" t="inlineStr">
        <is>
          <t>Attribute (The module shall … when …)</t>
        </is>
      </c>
      <c r="B7" s="5" t="inlineStr">
        <is>
          <t>What the module does, written as an observable behavior triggered by a stimulus: "The module shall … when …".</t>
        </is>
      </c>
    </row>
    <row r="8" ht="30" customHeight="1">
      <c r="A8" s="6" t="inlineStr">
        <is>
          <t>Notes / Assumptions</t>
        </is>
      </c>
      <c r="B8" s="7" t="inlineStr">
        <is>
          <t>Constraints, parameters, and assumptions the attribute depends on.</t>
        </is>
      </c>
    </row>
    <row r="9" ht="30" customHeight="1">
      <c r="A9" s="4" t="inlineStr">
        <is>
          <t>Test Case (standard &amp; corner cases)</t>
        </is>
      </c>
      <c r="B9" s="5" t="inlineStr">
        <is>
          <t>The concrete scenarios that must be exercised — standard cases and corner cases. One row per case.</t>
        </is>
      </c>
    </row>
    <row r="10" ht="30" customHeight="1">
      <c r="A10" s="6" t="inlineStr">
        <is>
          <t>Priority</t>
        </is>
      </c>
      <c r="B10" s="7" t="inlineStr">
        <is>
          <t>High / Medium / Low — trade-off between importance and development time.</t>
        </is>
      </c>
    </row>
    <row r="11" ht="30" customHeight="1">
      <c r="A11" s="4" t="inlineStr">
        <is>
          <t>Implemented (V / X)</t>
        </is>
      </c>
      <c r="B11" s="5" t="inlineStr">
        <is>
          <t>V = the scenario is implemented in the verification environment (stimulus + checker). X = not yet.</t>
        </is>
      </c>
    </row>
    <row r="12" ht="30" customHeight="1">
      <c r="A12" s="6" t="inlineStr">
        <is>
          <t>Checked (V / X)</t>
        </is>
      </c>
      <c r="B12" s="7" t="inlineStr">
        <is>
          <t>V = the scenario was actually hit and measured by functional coverage. X = not yet.
(Both status columns stay X when the AL is first written — they are filled in later, during verification.)</t>
        </is>
      </c>
    </row>
    <row r="14" ht="22" customHeight="1">
      <c r="A14" s="8" t="inlineStr">
        <is>
          <t>Writing good attributes</t>
        </is>
      </c>
    </row>
    <row r="15" ht="30" customHeight="1">
      <c r="A15" s="9" t="inlineStr">
        <is>
          <t>•  System assumptions: conditions the module cannot work without (e.g. valid interfaces, legal parameter ranges). They are not stimulated, but the environment must respect them.</t>
        </is>
      </c>
    </row>
    <row r="16" ht="18" customHeight="1">
      <c r="A16" s="9" t="inlineStr">
        <is>
          <t>•  Attributes describe what the module DOES in response to a stimulus — phrase them as "The module shall … when …".</t>
        </is>
      </c>
    </row>
    <row r="17" ht="30" customHeight="1">
      <c r="A17" s="9" t="inlineStr">
        <is>
          <t>•  Group attributes by common sense: by lane, by feature, by attribute type, etc. Give each group an ID prefix (e.g. LCK, SIZ, PAR).</t>
        </is>
      </c>
    </row>
    <row r="18" ht="30" customHeight="1">
      <c r="A18" s="9" t="inlineStr">
        <is>
          <t>•  Split every attribute into concrete test cases, one per row: the standard case plus every corner case (min, min+1, max-1, max, out-of-range, error injection).</t>
        </is>
      </c>
    </row>
    <row r="19" ht="30" customHeight="1">
      <c r="A19" s="9" t="inlineStr">
        <is>
          <t>•  Priority reflects the trade-off between importance and development time: High = must have for sign-off, Medium = should have, Low = nice to have.</t>
        </is>
      </c>
    </row>
    <row r="20" ht="30" customHeight="1">
      <c r="A20" s="9" t="inlineStr">
        <is>
          <t>•  Implemented (V/X): the scenario is generated and checked in the environment.  Checked (V/X): functional coverage shows the scenario was actually hit.</t>
        </is>
      </c>
    </row>
    <row r="21" ht="30" customHeight="1">
      <c r="A21" s="9" t="inlineStr">
        <is>
          <t>•  Keep the AL independent of the verification environment: describe behavior and scenarios in spec terms only (no coverpoints, sequences or test knobs) — those belong in the VP.</t>
        </is>
      </c>
    </row>
    <row r="22" ht="18" customHeight="1">
      <c r="A22" s="9" t="inlineStr">
        <is>
          <t>•  Write each test case so it can later become one VP item: a clear stimulus and the expected module response.</t>
        </is>
      </c>
    </row>
  </sheetData>
  <mergeCells count="11">
    <mergeCell ref="A20:B20"/>
    <mergeCell ref="A21:B21"/>
    <mergeCell ref="A16:B16"/>
    <mergeCell ref="A2:B2"/>
    <mergeCell ref="A15:B15"/>
    <mergeCell ref="A19:B19"/>
    <mergeCell ref="A14:B14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32" customHeight="1">
      <c r="A1" s="44" t="inlineStr">
        <is>
          <t>Verification Progress Summary — CTRL Stage</t>
        </is>
      </c>
    </row>
    <row r="2">
      <c r="A2" s="45" t="inlineStr">
        <is>
          <t>All numbers are live formulas over the 'AL' sheet — they update when you change V / X.</t>
        </is>
      </c>
    </row>
    <row r="4">
      <c r="A4" s="46" t="inlineStr">
        <is>
          <t>Group</t>
        </is>
      </c>
      <c r="B4" s="46" t="inlineStr">
        <is>
          <t>Test Cases</t>
        </is>
      </c>
      <c r="C4" s="46" t="inlineStr">
        <is>
          <t>Implemented</t>
        </is>
      </c>
      <c r="D4" s="46" t="inlineStr">
        <is>
          <t>% Impl.</t>
        </is>
      </c>
      <c r="E4" s="46" t="inlineStr">
        <is>
          <t>Checked</t>
        </is>
      </c>
      <c r="F4" s="46" t="inlineStr">
        <is>
          <t>% Checked</t>
        </is>
      </c>
    </row>
    <row r="5" ht="20" customHeight="1">
      <c r="A5" s="47" t="inlineStr">
        <is>
          <t>System assumptions</t>
        </is>
      </c>
      <c r="B5" s="48">
        <f>COUNTIFS(AL!$I$6:$I$68,"SYS",AL!$E$6:$E$68,"&lt;&gt;")</f>
        <v/>
      </c>
      <c r="C5" s="48">
        <f>COUNTIFS(AL!$I$6:$I$68,"SYS",AL!$G$6:$G$68,"V")</f>
        <v/>
      </c>
      <c r="D5" s="49">
        <f>IF(B5=0,0,C5/B5)</f>
        <v/>
      </c>
      <c r="E5" s="48">
        <f>COUNTIFS(AL!$I$6:$I$68,"SYS",AL!$H$6:$H$68,"V")</f>
        <v/>
      </c>
      <c r="F5" s="49">
        <f>IF(B5=0,0,E5/B5)</f>
        <v/>
      </c>
    </row>
    <row r="6" ht="20" customHeight="1">
      <c r="A6" s="47" t="inlineStr">
        <is>
          <t>LR op: SET</t>
        </is>
      </c>
      <c r="B6" s="48">
        <f>COUNTIFS(AL!$I$6:$I$68,"SET",AL!$E$6:$E$68,"&lt;&gt;")</f>
        <v/>
      </c>
      <c r="C6" s="48">
        <f>COUNTIFS(AL!$I$6:$I$68,"SET",AL!$G$6:$G$68,"V")</f>
        <v/>
      </c>
      <c r="D6" s="49">
        <f>IF(B6=0,0,C6/B6)</f>
        <v/>
      </c>
      <c r="E6" s="48">
        <f>COUNTIFS(AL!$I$6:$I$68,"SET",AL!$H$6:$H$68,"V")</f>
        <v/>
      </c>
      <c r="F6" s="49">
        <f>IF(B6=0,0,E6/B6)</f>
        <v/>
      </c>
    </row>
    <row r="7" ht="20" customHeight="1">
      <c r="A7" s="47" t="inlineStr">
        <is>
          <t>LR ops: ADD / SUB</t>
        </is>
      </c>
      <c r="B7" s="48">
        <f>COUNTIFS(AL!$I$6:$I$68,"ADS",AL!$E$6:$E$68,"&lt;&gt;")</f>
        <v/>
      </c>
      <c r="C7" s="48">
        <f>COUNTIFS(AL!$I$6:$I$68,"ADS",AL!$G$6:$G$68,"V")</f>
        <v/>
      </c>
      <c r="D7" s="49">
        <f>IF(B7=0,0,C7/B7)</f>
        <v/>
      </c>
      <c r="E7" s="48">
        <f>COUNTIFS(AL!$I$6:$I$68,"ADS",AL!$H$6:$H$68,"V")</f>
        <v/>
      </c>
      <c r="F7" s="49">
        <f>IF(B7=0,0,E7/B7)</f>
        <v/>
      </c>
    </row>
    <row r="8" ht="20" customHeight="1">
      <c r="A8" s="47" t="inlineStr">
        <is>
          <t>LR op: INC.MODP2</t>
        </is>
      </c>
      <c r="B8" s="48">
        <f>COUNTIFS(AL!$I$6:$I$68,"MOD",AL!$E$6:$E$68,"&lt;&gt;")</f>
        <v/>
      </c>
      <c r="C8" s="48">
        <f>COUNTIFS(AL!$I$6:$I$68,"MOD",AL!$G$6:$G$68,"V")</f>
        <v/>
      </c>
      <c r="D8" s="49">
        <f>IF(B8=0,0,C8/B8)</f>
        <v/>
      </c>
      <c r="E8" s="48">
        <f>COUNTIFS(AL!$I$6:$I$68,"MOD",AL!$H$6:$H$68,"V")</f>
        <v/>
      </c>
      <c r="F8" s="49">
        <f>IF(B8=0,0,E8/B8)</f>
        <v/>
      </c>
    </row>
    <row r="9" ht="20" customHeight="1">
      <c r="A9" s="47" t="inlineStr">
        <is>
          <t>LR ops: INC / DEC</t>
        </is>
      </c>
      <c r="B9" s="48">
        <f>COUNTIFS(AL!$I$6:$I$68,"IDC",AL!$E$6:$E$68,"&lt;&gt;")</f>
        <v/>
      </c>
      <c r="C9" s="48">
        <f>COUNTIFS(AL!$I$6:$I$68,"IDC",AL!$G$6:$G$68,"V")</f>
        <v/>
      </c>
      <c r="D9" s="49">
        <f>IF(B9=0,0,C9/B9)</f>
        <v/>
      </c>
      <c r="E9" s="48">
        <f>COUNTIFS(AL!$I$6:$I$68,"IDC",AL!$H$6:$H$68,"V")</f>
        <v/>
      </c>
      <c r="F9" s="49">
        <f>IF(B9=0,0,E9/B9)</f>
        <v/>
      </c>
    </row>
    <row r="10" ht="20" customHeight="1">
      <c r="A10" s="47" t="inlineStr">
        <is>
          <t>LR ops: ADDB / ADDBI</t>
        </is>
      </c>
      <c r="B10" s="48">
        <f>COUNTIFS(AL!$I$6:$I$68,"ADB",AL!$E$6:$E$68,"&lt;&gt;")</f>
        <v/>
      </c>
      <c r="C10" s="48">
        <f>COUNTIFS(AL!$I$6:$I$68,"ADB",AL!$G$6:$G$68,"V")</f>
        <v/>
      </c>
      <c r="D10" s="49">
        <f>IF(B10=0,0,C10/B10)</f>
        <v/>
      </c>
      <c r="E10" s="48">
        <f>COUNTIFS(AL!$I$6:$I$68,"ADB",AL!$H$6:$H$68,"V")</f>
        <v/>
      </c>
      <c r="F10" s="49">
        <f>IF(B10=0,0,E10/B10)</f>
        <v/>
      </c>
    </row>
    <row r="11" ht="20" customHeight="1">
      <c r="A11" s="47" t="inlineStr">
        <is>
          <t>LR lanes (x3)</t>
        </is>
      </c>
      <c r="B11" s="48">
        <f>COUNTIFS(AL!$I$6:$I$68,"LAN",AL!$E$6:$E$68,"&lt;&gt;")</f>
        <v/>
      </c>
      <c r="C11" s="48">
        <f>COUNTIFS(AL!$I$6:$I$68,"LAN",AL!$G$6:$G$68,"V")</f>
        <v/>
      </c>
      <c r="D11" s="49">
        <f>IF(B11=0,0,C11/B11)</f>
        <v/>
      </c>
      <c r="E11" s="48">
        <f>COUNTIFS(AL!$I$6:$I$68,"LAN",AL!$H$6:$H$68,"V")</f>
        <v/>
      </c>
      <c r="F11" s="49">
        <f>IF(B11=0,0,E11/B11)</f>
        <v/>
      </c>
    </row>
    <row r="12" ht="20" customHeight="1">
      <c r="A12" s="47" t="inlineStr">
        <is>
          <t>LR hazards &amp; timing</t>
        </is>
      </c>
      <c r="B12" s="48">
        <f>COUNTIFS(AL!$I$6:$I$68,"TIM",AL!$E$6:$E$68,"&lt;&gt;")</f>
        <v/>
      </c>
      <c r="C12" s="48">
        <f>COUNTIFS(AL!$I$6:$I$68,"TIM",AL!$G$6:$G$68,"V")</f>
        <v/>
      </c>
      <c r="D12" s="49">
        <f>IF(B12=0,0,C12/B12)</f>
        <v/>
      </c>
      <c r="E12" s="48">
        <f>COUNTIFS(AL!$I$6:$I$68,"TIM",AL!$H$6:$H$68,"V")</f>
        <v/>
      </c>
      <c r="F12" s="49">
        <f>IF(B12=0,0,E12/B12)</f>
        <v/>
      </c>
    </row>
    <row r="13" ht="20" customHeight="1">
      <c r="A13" s="47" t="inlineStr">
        <is>
          <t>LR / CR state &amp; reset</t>
        </is>
      </c>
      <c r="B13" s="48">
        <f>COUNTIFS(AL!$I$6:$I$68,"LRF",AL!$E$6:$E$68,"&lt;&gt;")</f>
        <v/>
      </c>
      <c r="C13" s="48">
        <f>COUNTIFS(AL!$I$6:$I$68,"LRF",AL!$G$6:$G$68,"V")</f>
        <v/>
      </c>
      <c r="D13" s="49">
        <f>IF(B13=0,0,C13/B13)</f>
        <v/>
      </c>
      <c r="E13" s="48">
        <f>COUNTIFS(AL!$I$6:$I$68,"LRF",AL!$H$6:$H$68,"V")</f>
        <v/>
      </c>
      <c r="F13" s="49">
        <f>IF(B13=0,0,E13/B13)</f>
        <v/>
      </c>
    </row>
    <row r="14" ht="20" customHeight="1">
      <c r="A14" s="47" t="inlineStr">
        <is>
          <t>COND: branches</t>
        </is>
      </c>
      <c r="B14" s="48">
        <f>COUNTIFS(AL!$I$6:$I$68,"CND",AL!$E$6:$E$68,"&lt;&gt;")</f>
        <v/>
      </c>
      <c r="C14" s="48">
        <f>COUNTIFS(AL!$I$6:$I$68,"CND",AL!$G$6:$G$68,"V")</f>
        <v/>
      </c>
      <c r="D14" s="49">
        <f>IF(B14=0,0,C14/B14)</f>
        <v/>
      </c>
      <c r="E14" s="48">
        <f>COUNTIFS(AL!$I$6:$I$68,"CND",AL!$H$6:$H$68,"V")</f>
        <v/>
      </c>
      <c r="F14" s="49">
        <f>IF(B14=0,0,E14/B14)</f>
        <v/>
      </c>
    </row>
    <row r="15" ht="20" customHeight="1">
      <c r="A15" s="47" t="inlineStr">
        <is>
          <t>COND: HALT</t>
        </is>
      </c>
      <c r="B15" s="48">
        <f>COUNTIFS(AL!$I$6:$I$68,"HLT",AL!$E$6:$E$68,"&lt;&gt;")</f>
        <v/>
      </c>
      <c r="C15" s="48">
        <f>COUNTIFS(AL!$I$6:$I$68,"HLT",AL!$G$6:$G$68,"V")</f>
        <v/>
      </c>
      <c r="D15" s="49">
        <f>IF(B15=0,0,C15/B15)</f>
        <v/>
      </c>
      <c r="E15" s="48">
        <f>COUNTIFS(AL!$I$6:$I$68,"HLT",AL!$H$6:$H$68,"V")</f>
        <v/>
      </c>
      <c r="F15" s="49">
        <f>IF(B15=0,0,E15/B15)</f>
        <v/>
      </c>
    </row>
    <row r="16" ht="20" customHeight="1">
      <c r="A16" s="47" t="inlineStr">
        <is>
          <t>Fetch / PC</t>
        </is>
      </c>
      <c r="B16" s="48">
        <f>COUNTIFS(AL!$I$6:$I$68,"FET",AL!$E$6:$E$68,"&lt;&gt;")</f>
        <v/>
      </c>
      <c r="C16" s="48">
        <f>COUNTIFS(AL!$I$6:$I$68,"FET",AL!$G$6:$G$68,"V")</f>
        <v/>
      </c>
      <c r="D16" s="49">
        <f>IF(B16=0,0,C16/B16)</f>
        <v/>
      </c>
      <c r="E16" s="48">
        <f>COUNTIFS(AL!$I$6:$I$68,"FET",AL!$H$6:$H$68,"V")</f>
        <v/>
      </c>
      <c r="F16" s="49">
        <f>IF(B16=0,0,E16/B16)</f>
        <v/>
      </c>
    </row>
    <row r="17" ht="20" customHeight="1">
      <c r="A17" s="47" t="inlineStr">
        <is>
          <t>Dispatch &amp; XMEM load</t>
        </is>
      </c>
      <c r="B17" s="48">
        <f>COUNTIFS(AL!$I$6:$I$68,"DSP",AL!$E$6:$E$68,"&lt;&gt;")</f>
        <v/>
      </c>
      <c r="C17" s="48">
        <f>COUNTIFS(AL!$I$6:$I$68,"DSP",AL!$G$6:$G$68,"V")</f>
        <v/>
      </c>
      <c r="D17" s="49">
        <f>IF(B17=0,0,C17/B17)</f>
        <v/>
      </c>
      <c r="E17" s="48">
        <f>COUNTIFS(AL!$I$6:$I$68,"DSP",AL!$H$6:$H$68,"V")</f>
        <v/>
      </c>
      <c r="F17" s="49">
        <f>IF(B17=0,0,E17/B17)</f>
        <v/>
      </c>
    </row>
    <row r="18" ht="20" customHeight="1">
      <c r="A18" s="47" t="inlineStr">
        <is>
          <t>Memory wait (spec TBD)</t>
        </is>
      </c>
      <c r="B18" s="48">
        <f>COUNTIFS(AL!$I$6:$I$68,"MEM",AL!$E$6:$E$68,"&lt;&gt;")</f>
        <v/>
      </c>
      <c r="C18" s="48">
        <f>COUNTIFS(AL!$I$6:$I$68,"MEM",AL!$G$6:$G$68,"V")</f>
        <v/>
      </c>
      <c r="D18" s="49">
        <f>IF(B18=0,0,C18/B18)</f>
        <v/>
      </c>
      <c r="E18" s="48">
        <f>COUNTIFS(AL!$I$6:$I$68,"MEM",AL!$H$6:$H$68,"V")</f>
        <v/>
      </c>
      <c r="F18" s="49">
        <f>IF(B18=0,0,E18/B18)</f>
        <v/>
      </c>
    </row>
    <row r="19" ht="20" customHeight="1">
      <c r="A19" s="50" t="inlineStr">
        <is>
          <t>TOTAL</t>
        </is>
      </c>
      <c r="B19" s="51">
        <f>SUM(B5:B18)</f>
        <v/>
      </c>
      <c r="C19" s="51">
        <f>SUM(C5:C18)</f>
        <v/>
      </c>
      <c r="D19" s="52">
        <f>IF(B19=0,0,C19/B19)</f>
        <v/>
      </c>
      <c r="E19" s="51">
        <f>SUM(E5:E18)</f>
        <v/>
      </c>
      <c r="F19" s="52">
        <f>IF(B19=0,0,E19/B19)</f>
        <v/>
      </c>
    </row>
    <row r="21">
      <c r="A21" s="53" t="inlineStr">
        <is>
          <t>By priority</t>
        </is>
      </c>
    </row>
    <row r="22">
      <c r="A22" s="54" t="inlineStr">
        <is>
          <t>Priority</t>
        </is>
      </c>
      <c r="B22" s="54" t="inlineStr">
        <is>
          <t>Test Cases</t>
        </is>
      </c>
      <c r="C22" s="54" t="inlineStr">
        <is>
          <t>Implemented</t>
        </is>
      </c>
      <c r="D22" s="54" t="inlineStr">
        <is>
          <t>% Impl.</t>
        </is>
      </c>
      <c r="E22" s="54" t="inlineStr">
        <is>
          <t>Checked</t>
        </is>
      </c>
      <c r="F22" s="54" t="inlineStr">
        <is>
          <t>% Checked</t>
        </is>
      </c>
    </row>
    <row r="23">
      <c r="A23" s="55" t="inlineStr">
        <is>
          <t>High</t>
        </is>
      </c>
      <c r="B23" s="56">
        <f>COUNTIFS(AL!$F$6:$F$68,"High")</f>
        <v/>
      </c>
      <c r="C23" s="56">
        <f>COUNTIFS(AL!$F$6:$F$68,"High",AL!$G$6:$G$68,"V")</f>
        <v/>
      </c>
      <c r="D23" s="57">
        <f>IF(B23=0,0,C23/B23)</f>
        <v/>
      </c>
      <c r="E23" s="56">
        <f>COUNTIFS(AL!$F$6:$F$68,"High",AL!$H$6:$H$68,"V")</f>
        <v/>
      </c>
      <c r="F23" s="57">
        <f>IF(B23=0,0,E23/B23)</f>
        <v/>
      </c>
    </row>
    <row r="24">
      <c r="A24" s="55" t="inlineStr">
        <is>
          <t>Medium</t>
        </is>
      </c>
      <c r="B24" s="56">
        <f>COUNTIFS(AL!$F$6:$F$68,"Medium")</f>
        <v/>
      </c>
      <c r="C24" s="56">
        <f>COUNTIFS(AL!$F$6:$F$68,"Medium",AL!$G$6:$G$68,"V")</f>
        <v/>
      </c>
      <c r="D24" s="57">
        <f>IF(B24=0,0,C24/B24)</f>
        <v/>
      </c>
      <c r="E24" s="56">
        <f>COUNTIFS(AL!$F$6:$F$68,"Medium",AL!$H$6:$H$68,"V")</f>
        <v/>
      </c>
      <c r="F24" s="57">
        <f>IF(B24=0,0,E24/B24)</f>
        <v/>
      </c>
    </row>
    <row r="25">
      <c r="A25" s="55" t="inlineStr">
        <is>
          <t>Low</t>
        </is>
      </c>
      <c r="B25" s="56">
        <f>COUNTIFS(AL!$F$6:$F$68,"Low")</f>
        <v/>
      </c>
      <c r="C25" s="56">
        <f>COUNTIFS(AL!$F$6:$F$68,"Low",AL!$G$6:$G$68,"V")</f>
        <v/>
      </c>
      <c r="D25" s="57">
        <f>IF(B25=0,0,C25/B25)</f>
        <v/>
      </c>
      <c r="E25" s="56">
        <f>COUNTIFS(AL!$F$6:$F$68,"Low",AL!$H$6:$H$68,"V")</f>
        <v/>
      </c>
      <c r="F25" s="57">
        <f>IF(B25=0,0,E25/B25)</f>
        <v/>
      </c>
    </row>
  </sheetData>
  <mergeCells count="2">
    <mergeCell ref="A2:F2"/>
    <mergeCell ref="A1:F1"/>
  </mergeCells>
  <conditionalFormatting sqref="D5:D19">
    <cfRule type="dataBar" priority="1">
      <dataBar>
        <cfvo type="num" val="0"/>
        <cfvo type="num" val="1"/>
        <color rgb="005B9BD5"/>
      </dataBar>
    </cfRule>
  </conditionalFormatting>
  <conditionalFormatting sqref="F5:F19">
    <cfRule type="dataBar" priority="2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46" customWidth="1" min="4" max="4"/>
    <col width="60" customWidth="1" min="5" max="5"/>
    <col width="10" customWidth="1" min="6" max="6"/>
    <col width="14" customWidth="1" min="7" max="7"/>
    <col width="14" customWidth="1" min="8" max="8"/>
    <col hidden="1" width="13" customWidth="1" min="9" max="9"/>
  </cols>
  <sheetData>
    <row r="1" ht="32" customHeight="1">
      <c r="A1" s="44" t="inlineStr">
        <is>
          <t>Control (CTRL) Stage — Attribute List (AL): Commands</t>
        </is>
      </c>
    </row>
    <row r="2" ht="44" customHeight="1">
      <c r="A2" s="58" t="inlineStr">
        <is>
          <t>Written from stage-control spec (ipu-emulator, specs/stage-control) — scope of this revision: the COMMANDS (LR slot x3 lanes, COND slot, fetch/PC, load address, dispatch pass-through). APB/IMEM-CR config and memory-wait are out of scope / placeholder. Cases are scenario classes hit by weighted constrained-random stimulus, not fixed values. Open spec issues: 'Spec Questions' sheet.</t>
        </is>
      </c>
    </row>
    <row r="3" ht="20" customHeight="1">
      <c r="E3" s="59" t="inlineStr">
        <is>
          <t>PRIORITY</t>
        </is>
      </c>
      <c r="F3" s="60" t="inlineStr">
        <is>
          <t>High</t>
        </is>
      </c>
      <c r="G3" s="61" t="inlineStr">
        <is>
          <t>Medium</t>
        </is>
      </c>
      <c r="H3" s="62" t="inlineStr">
        <is>
          <t>Low</t>
        </is>
      </c>
    </row>
    <row r="4" ht="20" customHeight="1">
      <c r="E4" s="59" t="inlineStr">
        <is>
          <t>STATUS   (Implemented / Checked)</t>
        </is>
      </c>
      <c r="F4" s="63" t="inlineStr"/>
      <c r="G4" s="64" t="inlineStr">
        <is>
          <t>V  •  Done</t>
        </is>
      </c>
      <c r="H4" s="65" t="inlineStr">
        <is>
          <t>X  •  Not done</t>
        </is>
      </c>
    </row>
    <row r="5" ht="34" customHeight="1">
      <c r="A5" s="46" t="inlineStr">
        <is>
          <t>ID</t>
        </is>
      </c>
      <c r="B5" s="46" t="inlineStr">
        <is>
          <t>Group</t>
        </is>
      </c>
      <c r="C5" s="46" t="inlineStr">
        <is>
          <t>Attribute
(The module shall … when …)</t>
        </is>
      </c>
      <c r="D5" s="46" t="inlineStr">
        <is>
          <t>Notes / Assumptions</t>
        </is>
      </c>
      <c r="E5" s="46" t="inlineStr">
        <is>
          <t>Test Case
(standard &amp; corner cases)</t>
        </is>
      </c>
      <c r="F5" s="46" t="inlineStr">
        <is>
          <t>Priority</t>
        </is>
      </c>
      <c r="G5" s="46" t="inlineStr">
        <is>
          <t>Implemented
(V / X)</t>
        </is>
      </c>
      <c r="H5" s="46" t="inlineStr">
        <is>
          <t>Checked
(V / X)</t>
        </is>
      </c>
    </row>
    <row r="6" ht="22" customHeight="1">
      <c r="A6" s="66" t="inlineStr">
        <is>
          <t>SYSTEM — Assumptions (the module cannot work correctly without these)</t>
        </is>
      </c>
      <c r="B6" s="67" t="n"/>
      <c r="C6" s="67" t="n"/>
      <c r="D6" s="67" t="n"/>
      <c r="E6" s="67" t="n"/>
      <c r="F6" s="67" t="n"/>
      <c r="G6" s="67" t="n"/>
      <c r="H6" s="67" t="n"/>
    </row>
    <row r="7" ht="46" customHeight="1">
      <c r="A7" s="68" t="inlineStr">
        <is>
          <t>SYS-01</t>
        </is>
      </c>
      <c r="B7" s="69" t="inlineStr">
        <is>
          <t>System assumptions</t>
        </is>
      </c>
      <c r="C7" s="70" t="inlineStr">
        <is>
          <t>The clock runs, rst is a legal synchronous reset, and the active IMEM bank holds a legal decoded program.</t>
        </is>
      </c>
      <c r="D7" s="70" t="inlineStr">
        <is>
          <t>IMEM/CR are loaded over APB — APB and bank swap are outside this AL revision (commands only).</t>
        </is>
      </c>
      <c r="E7" s="70" t="inlineStr">
        <is>
          <t>Assumption — not stimulated</t>
        </is>
      </c>
      <c r="F7" s="71" t="inlineStr">
        <is>
          <t>High</t>
        </is>
      </c>
      <c r="G7" s="71" t="inlineStr">
        <is>
          <t>X</t>
        </is>
      </c>
      <c r="H7" s="71" t="inlineStr">
        <is>
          <t>X</t>
        </is>
      </c>
      <c r="I7" t="inlineStr">
        <is>
          <t>SYS</t>
        </is>
      </c>
    </row>
    <row r="8" ht="72" customHeight="1">
      <c r="A8" s="72" t="inlineStr">
        <is>
          <t>SYS-02</t>
        </is>
      </c>
      <c r="B8" s="73" t="inlineStr">
        <is>
          <t>System assumptions</t>
        </is>
      </c>
      <c r="C8" s="74" t="inlineStr">
        <is>
          <t>Programs are legal: no two lanes write the same LR (ADDB/ADDBI write both LR(n) and LR(n+1)); INC.MODP2 k in 1..9; LRD index even; branch / BR targets inside the active bank.</t>
        </is>
      </c>
      <c r="D8" s="74" t="inlineStr">
        <is>
          <t>Spec §10.1. What the hardware does on illegal programs is not specified — Spec Questions Q5, Q9, Q12.</t>
        </is>
      </c>
      <c r="E8" s="74" t="inlineStr">
        <is>
          <t>Assumption — environment constraints, not stimulated</t>
        </is>
      </c>
      <c r="F8" s="75" t="inlineStr">
        <is>
          <t>High</t>
        </is>
      </c>
      <c r="G8" s="75" t="inlineStr">
        <is>
          <t>X</t>
        </is>
      </c>
      <c r="H8" s="75" t="inlineStr">
        <is>
          <t>X</t>
        </is>
      </c>
      <c r="I8" t="inlineStr">
        <is>
          <t>SYS</t>
        </is>
      </c>
    </row>
    <row r="9" ht="33" customHeight="1">
      <c r="A9" s="68" t="inlineStr">
        <is>
          <t>SYS-03</t>
        </is>
      </c>
      <c r="B9" s="69" t="inlineStr">
        <is>
          <t>System assumptions</t>
        </is>
      </c>
      <c r="C9" s="70" t="inlineStr">
        <is>
          <t>CR0 = 0 and CR1 = 1 are hard-wired, and CR content is static during a kernel.</t>
        </is>
      </c>
      <c r="D9" s="70" t="inlineStr">
        <is>
          <t>Host changes CR only through the inactive bank, between kernels.</t>
        </is>
      </c>
      <c r="E9" s="70" t="inlineStr">
        <is>
          <t>Assumption — not stimulated</t>
        </is>
      </c>
      <c r="F9" s="71" t="inlineStr">
        <is>
          <t>High</t>
        </is>
      </c>
      <c r="G9" s="71" t="inlineStr">
        <is>
          <t>X</t>
        </is>
      </c>
      <c r="H9" s="71" t="inlineStr">
        <is>
          <t>X</t>
        </is>
      </c>
      <c r="I9" t="inlineStr">
        <is>
          <t>SYS</t>
        </is>
      </c>
    </row>
    <row r="10" ht="33" customHeight="1">
      <c r="A10" s="72" t="inlineStr">
        <is>
          <t>SYS-04</t>
        </is>
      </c>
      <c r="B10" s="73" t="inlineStr">
        <is>
          <t>System assumptions</t>
        </is>
      </c>
      <c r="C10" s="74" t="inlineStr">
        <is>
          <t>Downstream stages and XMEM never back-pressure CTRL.</t>
        </is>
      </c>
      <c r="D10" s="74" t="inlineStr">
        <is>
          <t>Memory-wait behavior is not updated in the spec — see group MEM.</t>
        </is>
      </c>
      <c r="E10" s="74" t="inlineStr">
        <is>
          <t>Assumption — remove when the memory-wait spec is released</t>
        </is>
      </c>
      <c r="F10" s="75" t="inlineStr">
        <is>
          <t>High</t>
        </is>
      </c>
      <c r="G10" s="75" t="inlineStr">
        <is>
          <t>X</t>
        </is>
      </c>
      <c r="H10" s="75" t="inlineStr">
        <is>
          <t>X</t>
        </is>
      </c>
      <c r="I10" t="inlineStr">
        <is>
          <t>SYS</t>
        </is>
      </c>
    </row>
    <row r="11" ht="22" customHeight="1">
      <c r="A11" s="66" t="inlineStr">
        <is>
          <t>A. LR SLOT — per opcode (highest-risk area: every op writes state that all later code depends on)</t>
        </is>
      </c>
      <c r="B11" s="67" t="n"/>
      <c r="C11" s="67" t="n"/>
      <c r="D11" s="67" t="n"/>
      <c r="E11" s="67" t="n"/>
      <c r="F11" s="67" t="n"/>
      <c r="G11" s="67" t="n"/>
      <c r="H11" s="67" t="n"/>
    </row>
    <row r="12" ht="20" customHeight="1">
      <c r="A12" s="68" t="inlineStr">
        <is>
          <t>SET-01</t>
        </is>
      </c>
      <c r="B12" s="69" t="inlineStr">
        <is>
          <t>LR op: SET</t>
        </is>
      </c>
      <c r="C12" s="70" t="inlineStr">
        <is>
          <t>The module shall write dest with CR[src5[3:0]] when src5[4] = 0, or with the sign-extended 4-bit immediate when src5[4] = 1.</t>
        </is>
      </c>
      <c r="D12" s="70" t="inlineStr">
        <is>
          <t>CR0 = 0, CR1 = 1. Immediate range -8..+7.</t>
        </is>
      </c>
      <c r="E12" s="70" t="inlineStr">
        <is>
          <t>CR mode: random CR index, CR content and dest  [standard]</t>
        </is>
      </c>
      <c r="F12" s="71" t="inlineStr">
        <is>
          <t>High</t>
        </is>
      </c>
      <c r="G12" s="71" t="inlineStr">
        <is>
          <t>X</t>
        </is>
      </c>
      <c r="H12" s="71" t="inlineStr">
        <is>
          <t>X</t>
        </is>
      </c>
      <c r="I12" t="inlineStr">
        <is>
          <t>SET</t>
        </is>
      </c>
    </row>
    <row r="13" ht="20" customHeight="1">
      <c r="A13" s="76" t="n"/>
      <c r="B13" s="76" t="n"/>
      <c r="C13" s="76" t="n"/>
      <c r="D13" s="76" t="n"/>
      <c r="E13" s="70" t="inlineStr">
        <is>
          <t>Immediate mode: random payload and dest  [standard]</t>
        </is>
      </c>
      <c r="F13" s="71" t="inlineStr">
        <is>
          <t>High</t>
        </is>
      </c>
      <c r="G13" s="71" t="inlineStr">
        <is>
          <t>X</t>
        </is>
      </c>
      <c r="H13" s="71" t="inlineStr">
        <is>
          <t>X</t>
        </is>
      </c>
      <c r="I13" t="inlineStr">
        <is>
          <t>SET</t>
        </is>
      </c>
    </row>
    <row r="14" ht="33" customHeight="1">
      <c r="A14" s="77" t="n"/>
      <c r="B14" s="77" t="n"/>
      <c r="C14" s="77" t="n"/>
      <c r="D14" s="77" t="n"/>
      <c r="E14" s="70" t="inlineStr">
        <is>
          <t>Boundary class: CR0 / CR1 / CR15, imm min / max / -1, mode-bit boundary  [corner]</t>
        </is>
      </c>
      <c r="F14" s="71" t="inlineStr">
        <is>
          <t>Medium</t>
        </is>
      </c>
      <c r="G14" s="71" t="inlineStr">
        <is>
          <t>X</t>
        </is>
      </c>
      <c r="H14" s="71" t="inlineStr">
        <is>
          <t>X</t>
        </is>
      </c>
      <c r="I14" t="inlineStr">
        <is>
          <t>SET</t>
        </is>
      </c>
    </row>
    <row r="15" ht="20" customHeight="1">
      <c r="A15" s="72" t="inlineStr">
        <is>
          <t>ADS-01</t>
        </is>
      </c>
      <c r="B15" s="73" t="inlineStr">
        <is>
          <t>LR ops: ADD / SUB</t>
        </is>
      </c>
      <c r="C15" s="74" t="inlineStr">
        <is>
          <t>The module shall write (src_a + src_b)[31:0] into dest when ADD is issued (src_b = LR or CR).</t>
        </is>
      </c>
      <c r="D15" s="74" t="inlineStr">
        <is>
          <t>32-bit wrap, no saturation, no flags.</t>
        </is>
      </c>
      <c r="E15" s="74" t="inlineStr">
        <is>
          <t>Random sources (LR / CR mix) and dest  [standard]</t>
        </is>
      </c>
      <c r="F15" s="75" t="inlineStr">
        <is>
          <t>High</t>
        </is>
      </c>
      <c r="G15" s="75" t="inlineStr">
        <is>
          <t>X</t>
        </is>
      </c>
      <c r="H15" s="75" t="inlineStr">
        <is>
          <t>X</t>
        </is>
      </c>
      <c r="I15" t="inlineStr">
        <is>
          <t>ADS</t>
        </is>
      </c>
    </row>
    <row r="16" ht="33" customHeight="1">
      <c r="A16" s="76" t="n"/>
      <c r="B16" s="76" t="n"/>
      <c r="C16" s="76" t="n"/>
      <c r="D16" s="76" t="n"/>
      <c r="E16" s="74" t="inlineStr">
        <is>
          <t>Operands biased to wrap points (0, ±1, 0x7FFFFFFF, 0x80000000, 0xFFFFFFFF)  [corner]</t>
        </is>
      </c>
      <c r="F16" s="75" t="inlineStr">
        <is>
          <t>High</t>
        </is>
      </c>
      <c r="G16" s="75" t="inlineStr">
        <is>
          <t>X</t>
        </is>
      </c>
      <c r="H16" s="75" t="inlineStr">
        <is>
          <t>X</t>
        </is>
      </c>
      <c r="I16" t="inlineStr">
        <is>
          <t>ADS</t>
        </is>
      </c>
    </row>
    <row r="17" ht="33" customHeight="1">
      <c r="A17" s="77" t="n"/>
      <c r="B17" s="77" t="n"/>
      <c r="C17" s="77" t="n"/>
      <c r="D17" s="77" t="n"/>
      <c r="E17" s="74" t="inlineStr">
        <is>
          <t>Operand aliasing: dest == src_a / src_b, src_a == src_b  [corner]</t>
        </is>
      </c>
      <c r="F17" s="75" t="inlineStr">
        <is>
          <t>Medium</t>
        </is>
      </c>
      <c r="G17" s="75" t="inlineStr">
        <is>
          <t>X</t>
        </is>
      </c>
      <c r="H17" s="75" t="inlineStr">
        <is>
          <t>X</t>
        </is>
      </c>
      <c r="I17" t="inlineStr">
        <is>
          <t>ADS</t>
        </is>
      </c>
    </row>
    <row r="18" ht="20" customHeight="1">
      <c r="A18" s="68" t="inlineStr">
        <is>
          <t>ADS-02</t>
        </is>
      </c>
      <c r="B18" s="69" t="inlineStr">
        <is>
          <t>LR ops: ADD / SUB</t>
        </is>
      </c>
      <c r="C18" s="70" t="inlineStr">
        <is>
          <t>The module shall write (src_a - src_b)[31:0] into dest when SUB is issued.</t>
        </is>
      </c>
      <c r="D18" s="70" t="inlineStr">
        <is>
          <t>Operand order matters.</t>
        </is>
      </c>
      <c r="E18" s="70" t="inlineStr">
        <is>
          <t>Random sources (LR / CR mix) and dest  [standard]</t>
        </is>
      </c>
      <c r="F18" s="71" t="inlineStr">
        <is>
          <t>High</t>
        </is>
      </c>
      <c r="G18" s="71" t="inlineStr">
        <is>
          <t>X</t>
        </is>
      </c>
      <c r="H18" s="71" t="inlineStr">
        <is>
          <t>X</t>
        </is>
      </c>
      <c r="I18" t="inlineStr">
        <is>
          <t>ADS</t>
        </is>
      </c>
    </row>
    <row r="19" ht="20" customHeight="1">
      <c r="A19" s="76" t="n"/>
      <c r="B19" s="76" t="n"/>
      <c r="C19" s="76" t="n"/>
      <c r="D19" s="76" t="n"/>
      <c r="E19" s="70" t="inlineStr">
        <is>
          <t>Operands biased to underflow / wrap points  [corner]</t>
        </is>
      </c>
      <c r="F19" s="71" t="inlineStr">
        <is>
          <t>High</t>
        </is>
      </c>
      <c r="G19" s="71" t="inlineStr">
        <is>
          <t>X</t>
        </is>
      </c>
      <c r="H19" s="71" t="inlineStr">
        <is>
          <t>X</t>
        </is>
      </c>
      <c r="I19" t="inlineStr">
        <is>
          <t>ADS</t>
        </is>
      </c>
    </row>
    <row r="20" ht="20" customHeight="1">
      <c r="A20" s="77" t="n"/>
      <c r="B20" s="77" t="n"/>
      <c r="C20" s="77" t="n"/>
      <c r="D20" s="77" t="n"/>
      <c r="E20" s="70" t="inlineStr">
        <is>
          <t>Operand aliasing (loop-counter form SUB LRx LRx CR1)  [corner]</t>
        </is>
      </c>
      <c r="F20" s="71" t="inlineStr">
        <is>
          <t>Medium</t>
        </is>
      </c>
      <c r="G20" s="71" t="inlineStr">
        <is>
          <t>X</t>
        </is>
      </c>
      <c r="H20" s="71" t="inlineStr">
        <is>
          <t>X</t>
        </is>
      </c>
      <c r="I20" t="inlineStr">
        <is>
          <t>ADS</t>
        </is>
      </c>
    </row>
    <row r="21" ht="20" customHeight="1">
      <c r="A21" s="72" t="inlineStr">
        <is>
          <t>MOD-01</t>
        </is>
      </c>
      <c r="B21" s="73" t="inlineStr">
        <is>
          <t>LR op: INC.MODP2</t>
        </is>
      </c>
      <c r="C21" s="74" t="inlineStr">
        <is>
          <t>The module shall write (dst + step) &amp; ((1&lt;&lt;k)-1) into dst when INC.MODP2 is issued.</t>
        </is>
      </c>
      <c r="D21" s="74" t="inlineStr">
        <is>
          <t>k 1..9 (encoded k-1). step is a signed 32-bit LR or CR value.</t>
        </is>
      </c>
      <c r="E21" s="74" t="inlineStr">
        <is>
          <t>Random k, dst, step (all inside the mask)  [standard]</t>
        </is>
      </c>
      <c r="F21" s="75" t="inlineStr">
        <is>
          <t>High</t>
        </is>
      </c>
      <c r="G21" s="75" t="inlineStr">
        <is>
          <t>X</t>
        </is>
      </c>
      <c r="H21" s="75" t="inlineStr">
        <is>
          <t>X</t>
        </is>
      </c>
      <c r="I21" t="inlineStr">
        <is>
          <t>MOD</t>
        </is>
      </c>
    </row>
    <row r="22" ht="33" customHeight="1">
      <c r="A22" s="76" t="n"/>
      <c r="B22" s="76" t="n"/>
      <c r="C22" s="76" t="n"/>
      <c r="D22" s="76" t="n"/>
      <c r="E22" s="74" t="inlineStr">
        <is>
          <t>Wrap class: sum at / around 2^k, negative and large steps, dst already above the mask  [corner]</t>
        </is>
      </c>
      <c r="F22" s="75" t="inlineStr">
        <is>
          <t>High</t>
        </is>
      </c>
      <c r="G22" s="75" t="inlineStr">
        <is>
          <t>X</t>
        </is>
      </c>
      <c r="H22" s="75" t="inlineStr">
        <is>
          <t>X</t>
        </is>
      </c>
      <c r="I22" t="inlineStr">
        <is>
          <t>MOD</t>
        </is>
      </c>
    </row>
    <row r="23" ht="20" customHeight="1">
      <c r="A23" s="76" t="n"/>
      <c r="B23" s="76" t="n"/>
      <c r="C23" s="76" t="n"/>
      <c r="D23" s="76" t="n"/>
      <c r="E23" s="74" t="inlineStr">
        <is>
          <t>Step source CR0 / CR1 / LR / dst itself  [corner]</t>
        </is>
      </c>
      <c r="F23" s="75" t="inlineStr">
        <is>
          <t>Medium</t>
        </is>
      </c>
      <c r="G23" s="75" t="inlineStr">
        <is>
          <t>X</t>
        </is>
      </c>
      <c r="H23" s="75" t="inlineStr">
        <is>
          <t>X</t>
        </is>
      </c>
      <c r="I23" t="inlineStr">
        <is>
          <t>MOD</t>
        </is>
      </c>
    </row>
    <row r="24" ht="33" customHeight="1">
      <c r="A24" s="77" t="n"/>
      <c r="B24" s="77" t="n"/>
      <c r="C24" s="77" t="n"/>
      <c r="D24" s="77" t="n"/>
      <c r="E24" s="74" t="inlineStr">
        <is>
          <t>Pointer walk: repeated INC.MODP2 over many words (circular buffer)  [standard]</t>
        </is>
      </c>
      <c r="F24" s="75" t="inlineStr">
        <is>
          <t>Medium</t>
        </is>
      </c>
      <c r="G24" s="75" t="inlineStr">
        <is>
          <t>X</t>
        </is>
      </c>
      <c r="H24" s="75" t="inlineStr">
        <is>
          <t>X</t>
        </is>
      </c>
      <c r="I24" t="inlineStr">
        <is>
          <t>MOD</t>
        </is>
      </c>
    </row>
    <row r="25" ht="20" customHeight="1">
      <c r="A25" s="68" t="inlineStr">
        <is>
          <t>IDC-01</t>
        </is>
      </c>
      <c r="B25" s="69" t="inlineStr">
        <is>
          <t>LR ops: INC / DEC</t>
        </is>
      </c>
      <c r="C25" s="70" t="inlineStr">
        <is>
          <t>The module shall write dest ± imm (unsigned 8-bit immediate, 32-bit wrap) when INC / DEC is issued.</t>
        </is>
      </c>
      <c r="D25" s="70" t="inlineStr">
        <is>
          <t>Same immediate field as ADDBI, but decoded UNSIGNED here.</t>
        </is>
      </c>
      <c r="E25" s="70" t="inlineStr">
        <is>
          <t>Random imm and dest  [standard]</t>
        </is>
      </c>
      <c r="F25" s="71" t="inlineStr">
        <is>
          <t>High</t>
        </is>
      </c>
      <c r="G25" s="71" t="inlineStr">
        <is>
          <t>X</t>
        </is>
      </c>
      <c r="H25" s="71" t="inlineStr">
        <is>
          <t>X</t>
        </is>
      </c>
      <c r="I25" t="inlineStr">
        <is>
          <t>IDC</t>
        </is>
      </c>
    </row>
    <row r="26" ht="33" customHeight="1">
      <c r="A26" s="76" t="n"/>
      <c r="B26" s="76" t="n"/>
      <c r="C26" s="76" t="n"/>
      <c r="D26" s="76" t="n"/>
      <c r="E26" s="70" t="inlineStr">
        <is>
          <t>imm biased to 0 / 127 / 128 / 255 (unsigned decode) and dest near 0 / 0xFFFFFFFF wrap  [corner]</t>
        </is>
      </c>
      <c r="F26" s="71" t="inlineStr">
        <is>
          <t>High</t>
        </is>
      </c>
      <c r="G26" s="71" t="inlineStr">
        <is>
          <t>X</t>
        </is>
      </c>
      <c r="H26" s="71" t="inlineStr">
        <is>
          <t>X</t>
        </is>
      </c>
      <c r="I26" t="inlineStr">
        <is>
          <t>IDC</t>
        </is>
      </c>
    </row>
    <row r="27" ht="20" customHeight="1">
      <c r="A27" s="77" t="n"/>
      <c r="B27" s="77" t="n"/>
      <c r="C27" s="77" t="n"/>
      <c r="D27" s="77" t="n"/>
      <c r="E27" s="70" t="inlineStr">
        <is>
          <t>Long repeated INC / DEC on the same LR (counter)  [standard]</t>
        </is>
      </c>
      <c r="F27" s="71" t="inlineStr">
        <is>
          <t>Medium</t>
        </is>
      </c>
      <c r="G27" s="71" t="inlineStr">
        <is>
          <t>X</t>
        </is>
      </c>
      <c r="H27" s="71" t="inlineStr">
        <is>
          <t>X</t>
        </is>
      </c>
      <c r="I27" t="inlineStr">
        <is>
          <t>IDC</t>
        </is>
      </c>
    </row>
    <row r="28" ht="20" customHeight="1">
      <c r="A28" s="72" t="inlineStr">
        <is>
          <t>ADB-01</t>
        </is>
      </c>
      <c r="B28" s="73" t="inlineStr">
        <is>
          <t>LR ops: ADDB / ADDBI</t>
        </is>
      </c>
      <c r="C28" s="74" t="inlineStr">
        <is>
          <t>The module shall add the signed byte (src_b[7:0] for ADDB, imm for ADDBI) to each of the 8 bytes of LRDn, saturating each byte to [0,255].</t>
        </is>
      </c>
      <c r="D28" s="74" t="inlineStr">
        <is>
          <t>LRDn = LR(n+1):LR(n). Byte order inside the pair — Spec Questions Q10.</t>
        </is>
      </c>
      <c r="E28" s="74" t="inlineStr">
        <is>
          <t>Random pair content and random signed byte  [standard]</t>
        </is>
      </c>
      <c r="F28" s="75" t="inlineStr">
        <is>
          <t>High</t>
        </is>
      </c>
      <c r="G28" s="75" t="inlineStr">
        <is>
          <t>X</t>
        </is>
      </c>
      <c r="H28" s="75" t="inlineStr">
        <is>
          <t>X</t>
        </is>
      </c>
      <c r="I28" t="inlineStr">
        <is>
          <t>ADB</t>
        </is>
      </c>
    </row>
    <row r="29" ht="46" customHeight="1">
      <c r="A29" s="76" t="n"/>
      <c r="B29" s="76" t="n"/>
      <c r="C29" s="76" t="n"/>
      <c r="D29" s="76" t="n"/>
      <c r="E29" s="74" t="inlineStr">
        <is>
          <t>Saturation class: bytes and value biased to 0 / 255 / ±127 / -128, mixed saturating and non-saturating bytes in one op  [corner]</t>
        </is>
      </c>
      <c r="F29" s="75" t="inlineStr">
        <is>
          <t>High</t>
        </is>
      </c>
      <c r="G29" s="75" t="inlineStr">
        <is>
          <t>X</t>
        </is>
      </c>
      <c r="H29" s="75" t="inlineStr">
        <is>
          <t>X</t>
        </is>
      </c>
      <c r="I29" t="inlineStr">
        <is>
          <t>ADB</t>
        </is>
      </c>
    </row>
    <row r="30" ht="33" customHeight="1">
      <c r="A30" s="76" t="n"/>
      <c r="B30" s="76" t="n"/>
      <c r="C30" s="76" t="n"/>
      <c r="D30" s="76" t="n"/>
      <c r="E30" s="74" t="inlineStr">
        <is>
          <t>Operand decode class: ADDB src_b with non-zero upper bits; ADDBI imm in both 0..255 and signed spelling  [corner]</t>
        </is>
      </c>
      <c r="F30" s="75" t="inlineStr">
        <is>
          <t>High</t>
        </is>
      </c>
      <c r="G30" s="75" t="inlineStr">
        <is>
          <t>X</t>
        </is>
      </c>
      <c r="H30" s="75" t="inlineStr">
        <is>
          <t>X</t>
        </is>
      </c>
      <c r="I30" t="inlineStr">
        <is>
          <t>ADB</t>
        </is>
      </c>
    </row>
    <row r="31" ht="33" customHeight="1">
      <c r="A31" s="77" t="n"/>
      <c r="B31" s="77" t="n"/>
      <c r="C31" s="77" t="n"/>
      <c r="D31" s="77" t="n"/>
      <c r="E31" s="74" t="inlineStr">
        <is>
          <t>Pair addressing: every LRD0..LRD14, only LR(n) and LR(n+1) change; src_b inside the dest pair  [standard]</t>
        </is>
      </c>
      <c r="F31" s="75" t="inlineStr">
        <is>
          <t>Medium</t>
        </is>
      </c>
      <c r="G31" s="75" t="inlineStr">
        <is>
          <t>X</t>
        </is>
      </c>
      <c r="H31" s="75" t="inlineStr">
        <is>
          <t>X</t>
        </is>
      </c>
      <c r="I31" t="inlineStr">
        <is>
          <t>ADB</t>
        </is>
      </c>
    </row>
    <row r="32" ht="22" customHeight="1">
      <c r="A32" s="66" t="inlineStr">
        <is>
          <t>B. LR SLOT — three lanes, hazards, register state</t>
        </is>
      </c>
      <c r="B32" s="67" t="n"/>
      <c r="C32" s="67" t="n"/>
      <c r="D32" s="67" t="n"/>
      <c r="E32" s="67" t="n"/>
      <c r="F32" s="67" t="n"/>
      <c r="G32" s="67" t="n"/>
      <c r="H32" s="67" t="n"/>
    </row>
    <row r="33" ht="33" customHeight="1">
      <c r="A33" s="68" t="inlineStr">
        <is>
          <t>LAN-01</t>
        </is>
      </c>
      <c r="B33" s="69" t="inlineStr">
        <is>
          <t>LR lanes (x3)</t>
        </is>
      </c>
      <c r="C33" s="70" t="inlineStr">
        <is>
          <t>The module shall execute any LR opcode in any lane, with up to three LR sub-instructions in parallel in one word.</t>
        </is>
      </c>
      <c r="D33" s="70" t="inlineStr">
        <is>
          <t>Lanes are identical. ADDB/ADDBI write two LRs each (Spec Questions Q4); unused lane encoding — Q7.</t>
        </is>
      </c>
      <c r="E33" s="70" t="inlineStr">
        <is>
          <t>Random opcode / lane mix, 1..3 active lanes, distinct dests  [standard]</t>
        </is>
      </c>
      <c r="F33" s="71" t="inlineStr">
        <is>
          <t>High</t>
        </is>
      </c>
      <c r="G33" s="71" t="inlineStr">
        <is>
          <t>X</t>
        </is>
      </c>
      <c r="H33" s="71" t="inlineStr">
        <is>
          <t>X</t>
        </is>
      </c>
      <c r="I33" t="inlineStr">
        <is>
          <t>LAN</t>
        </is>
      </c>
    </row>
    <row r="34" ht="20" customHeight="1">
      <c r="A34" s="76" t="n"/>
      <c r="B34" s="76" t="n"/>
      <c r="C34" s="76" t="n"/>
      <c r="D34" s="76" t="n"/>
      <c r="E34" s="70" t="inlineStr">
        <is>
          <t>All lanes NOP, and partially NOP words  [corner]</t>
        </is>
      </c>
      <c r="F34" s="71" t="inlineStr">
        <is>
          <t>Medium</t>
        </is>
      </c>
      <c r="G34" s="71" t="inlineStr">
        <is>
          <t>X</t>
        </is>
      </c>
      <c r="H34" s="71" t="inlineStr">
        <is>
          <t>X</t>
        </is>
      </c>
      <c r="I34" t="inlineStr">
        <is>
          <t>LAN</t>
        </is>
      </c>
    </row>
    <row r="35" ht="20" customHeight="1">
      <c r="A35" s="77" t="n"/>
      <c r="B35" s="77" t="n"/>
      <c r="C35" s="77" t="n"/>
      <c r="D35" s="77" t="n"/>
      <c r="E35" s="70" t="inlineStr">
        <is>
          <t>Several ADDB / ADDBI pairs in one word  [corner]</t>
        </is>
      </c>
      <c r="F35" s="71" t="inlineStr">
        <is>
          <t>Medium</t>
        </is>
      </c>
      <c r="G35" s="71" t="inlineStr">
        <is>
          <t>X</t>
        </is>
      </c>
      <c r="H35" s="71" t="inlineStr">
        <is>
          <t>X</t>
        </is>
      </c>
      <c r="I35" t="inlineStr">
        <is>
          <t>LAN</t>
        </is>
      </c>
    </row>
    <row r="36" ht="46" customHeight="1">
      <c r="A36" s="72" t="inlineStr">
        <is>
          <t>LAN-02</t>
        </is>
      </c>
      <c r="B36" s="73" t="inlineStr">
        <is>
          <t>LR lanes (x3)</t>
        </is>
      </c>
      <c r="C36" s="74" t="inlineStr">
        <is>
          <t>The module shall read all lane source operands from the prior-cycle snapshot, not from another lane's result in the same word.</t>
        </is>
      </c>
      <c r="D36" s="74" t="inlineStr">
        <is>
          <t>Spec §5.</t>
        </is>
      </c>
      <c r="E36" s="74" t="inlineStr">
        <is>
          <t>Words where one lane reads an LR another lane writes (any lane pair, any opcode), incl. register swap / rotate in one word  [corner]</t>
        </is>
      </c>
      <c r="F36" s="75" t="inlineStr">
        <is>
          <t>High</t>
        </is>
      </c>
      <c r="G36" s="75" t="inlineStr">
        <is>
          <t>X</t>
        </is>
      </c>
      <c r="H36" s="75" t="inlineStr">
        <is>
          <t>X</t>
        </is>
      </c>
      <c r="I36" t="inlineStr">
        <is>
          <t>LAN</t>
        </is>
      </c>
    </row>
    <row r="37" ht="33" customHeight="1">
      <c r="A37" s="68" t="inlineStr">
        <is>
          <t>LAN-03</t>
        </is>
      </c>
      <c r="B37" s="69" t="inlineStr">
        <is>
          <t>LR lanes (x3)</t>
        </is>
      </c>
      <c r="C37" s="70" t="inlineStr">
        <is>
          <t>The module shall change only the destination registers named in the word.</t>
        </is>
      </c>
      <c r="D37" s="70" t="inlineStr">
        <is>
          <t>Full 16-LR compare every cycle.</t>
        </is>
      </c>
      <c r="E37" s="70" t="inlineStr">
        <is>
          <t>All 16 LRs checked each cycle over random programs  [standard]</t>
        </is>
      </c>
      <c r="F37" s="71" t="inlineStr">
        <is>
          <t>High</t>
        </is>
      </c>
      <c r="G37" s="71" t="inlineStr">
        <is>
          <t>X</t>
        </is>
      </c>
      <c r="H37" s="71" t="inlineStr">
        <is>
          <t>X</t>
        </is>
      </c>
      <c r="I37" t="inlineStr">
        <is>
          <t>LAN</t>
        </is>
      </c>
    </row>
    <row r="38" ht="46" customHeight="1">
      <c r="A38" s="72" t="inlineStr">
        <is>
          <t>TIM-01</t>
        </is>
      </c>
      <c r="B38" s="73" t="inlineStr">
        <is>
          <t>LR hazards &amp; timing</t>
        </is>
      </c>
      <c r="C38" s="74" t="inlineStr">
        <is>
          <t>The module shall make an LR written in word N visible to LR-ALU sources in words N+1 and later.</t>
        </is>
      </c>
      <c r="D38" s="74" t="n"/>
      <c r="E38" s="74" t="inlineStr">
        <is>
          <t>Random dependent chains: producer op, consumer op, lane and distance 1..N randomized  [standard]</t>
        </is>
      </c>
      <c r="F38" s="75" t="inlineStr">
        <is>
          <t>High</t>
        </is>
      </c>
      <c r="G38" s="75" t="inlineStr">
        <is>
          <t>X</t>
        </is>
      </c>
      <c r="H38" s="75" t="inlineStr">
        <is>
          <t>X</t>
        </is>
      </c>
      <c r="I38" t="inlineStr">
        <is>
          <t>TIM</t>
        </is>
      </c>
    </row>
    <row r="39" ht="46" customHeight="1">
      <c r="A39" s="68" t="inlineStr">
        <is>
          <t>TIM-02</t>
        </is>
      </c>
      <c r="B39" s="69" t="inlineStr">
        <is>
          <t>LR hazards &amp; timing</t>
        </is>
      </c>
      <c r="C39" s="70" t="inlineStr">
        <is>
          <t>The module shall evaluate branch operands (reg1, reg2, BR reg) from the prior-cycle snapshot.</t>
        </is>
      </c>
      <c r="D39" s="70" t="inlineStr">
        <is>
          <t>Spec §5 / §10.</t>
        </is>
      </c>
      <c r="E39" s="70" t="inlineStr">
        <is>
          <t>LR written in the same word as the branch (old value used) or the word before (new value used), biased so the write flips the outcome  [corner]</t>
        </is>
      </c>
      <c r="F39" s="71" t="inlineStr">
        <is>
          <t>High</t>
        </is>
      </c>
      <c r="G39" s="71" t="inlineStr">
        <is>
          <t>X</t>
        </is>
      </c>
      <c r="H39" s="71" t="inlineStr">
        <is>
          <t>X</t>
        </is>
      </c>
      <c r="I39" t="inlineStr">
        <is>
          <t>TIM</t>
        </is>
      </c>
    </row>
    <row r="40" ht="59" customHeight="1">
      <c r="A40" s="72" t="inlineStr">
        <is>
          <t>TIM-03</t>
        </is>
      </c>
      <c r="B40" s="73" t="inlineStr">
        <is>
          <t>LR hazards &amp; timing</t>
        </is>
      </c>
      <c r="C40" s="74" t="inlineStr">
        <is>
          <t>The module shall execute the slots of the branch word itself in both outcomes, and shall give the non-selected fetch candidate no side effect (LR write, load, bus).</t>
        </is>
      </c>
      <c r="D40" s="74" t="inlineStr">
        <is>
          <t>PC+1 and label are fetched in parallel; only one may execute.</t>
        </is>
      </c>
      <c r="E40" s="74" t="inlineStr">
        <is>
          <t>Taken and not-taken branches whose both candidate words carry LR writes / loads / bus slots  [corner]</t>
        </is>
      </c>
      <c r="F40" s="75" t="inlineStr">
        <is>
          <t>High</t>
        </is>
      </c>
      <c r="G40" s="75" t="inlineStr">
        <is>
          <t>X</t>
        </is>
      </c>
      <c r="H40" s="75" t="inlineStr">
        <is>
          <t>X</t>
        </is>
      </c>
      <c r="I40" t="inlineStr">
        <is>
          <t>TIM</t>
        </is>
      </c>
    </row>
    <row r="41" ht="46" customHeight="1">
      <c r="A41" s="68" t="inlineStr">
        <is>
          <t>LRF-01</t>
        </is>
      </c>
      <c r="B41" s="69" t="inlineStr">
        <is>
          <t>LR / CR state &amp; reset</t>
        </is>
      </c>
      <c r="C41" s="70" t="inlineStr">
        <is>
          <t>The module shall keep 16 independent 32-bit LRs, treat LRDn as an alias of LR(n+1):LR(n), and read CR0 / CR1 as 0 / 1.</t>
        </is>
      </c>
      <c r="D41" s="70" t="inlineStr">
        <is>
          <t>LR0 is an ordinary register.</t>
        </is>
      </c>
      <c r="E41" s="70" t="inlineStr">
        <is>
          <t>Random mix of scalar and pair accesses across all LRs and CRs  [standard]</t>
        </is>
      </c>
      <c r="F41" s="71" t="inlineStr">
        <is>
          <t>Medium</t>
        </is>
      </c>
      <c r="G41" s="71" t="inlineStr">
        <is>
          <t>X</t>
        </is>
      </c>
      <c r="H41" s="71" t="inlineStr">
        <is>
          <t>X</t>
        </is>
      </c>
      <c r="I41" t="inlineStr">
        <is>
          <t>LRF</t>
        </is>
      </c>
    </row>
    <row r="42" ht="33" customHeight="1">
      <c r="A42" s="72" t="inlineStr">
        <is>
          <t>LRF-02</t>
        </is>
      </c>
      <c r="B42" s="73" t="inlineStr">
        <is>
          <t>LR / CR state &amp; reset</t>
        </is>
      </c>
      <c r="C42" s="74" t="inlineStr">
        <is>
          <t>The module shall restart at PC 0 and drop pending LR writes when rst is asserted.</t>
        </is>
      </c>
      <c r="D42" s="74" t="inlineStr">
        <is>
          <t>LR reset value is not specified — Spec Questions Q6.</t>
        </is>
      </c>
      <c r="E42" s="74" t="inlineStr">
        <is>
          <t>Reset at a random time: mid-kernel, in a branch cycle, after HALT; short and long pulse  [corner]</t>
        </is>
      </c>
      <c r="F42" s="75" t="inlineStr">
        <is>
          <t>High</t>
        </is>
      </c>
      <c r="G42" s="75" t="inlineStr">
        <is>
          <t>X</t>
        </is>
      </c>
      <c r="H42" s="75" t="inlineStr">
        <is>
          <t>X</t>
        </is>
      </c>
      <c r="I42" t="inlineStr">
        <is>
          <t>LRF</t>
        </is>
      </c>
    </row>
    <row r="43" ht="22" customHeight="1">
      <c r="A43" s="66" t="inlineStr">
        <is>
          <t>C. COND SLOT — branches and HALT</t>
        </is>
      </c>
      <c r="B43" s="67" t="n"/>
      <c r="C43" s="67" t="n"/>
      <c r="D43" s="67" t="n"/>
      <c r="E43" s="67" t="n"/>
      <c r="F43" s="67" t="n"/>
      <c r="G43" s="67" t="n"/>
      <c r="H43" s="67" t="n"/>
    </row>
    <row r="44" ht="33" customHeight="1">
      <c r="A44" s="68" t="inlineStr">
        <is>
          <t>CND-01</t>
        </is>
      </c>
      <c r="B44" s="69" t="inlineStr">
        <is>
          <t>COND: branches</t>
        </is>
      </c>
      <c r="C44" s="70" t="inlineStr">
        <is>
          <t>The module shall branch to label when the 32-bit compare of reg1, reg2 holds (BEQ: ==, BNE: !=, BLT.S: signed &lt;, BGE.S: signed &gt;=) and fall through to PC+1 otherwise.</t>
        </is>
      </c>
      <c r="D44" s="70" t="inlineStr">
        <is>
          <t>Operands LR or CR. Signed compare for .S.</t>
        </is>
      </c>
      <c r="E44" s="70" t="inlineStr">
        <is>
          <t>Random opcode, random LR / CR operands, taken and not-taken  [standard]</t>
        </is>
      </c>
      <c r="F44" s="71" t="inlineStr">
        <is>
          <t>High</t>
        </is>
      </c>
      <c r="G44" s="71" t="inlineStr">
        <is>
          <t>X</t>
        </is>
      </c>
      <c r="H44" s="71" t="inlineStr">
        <is>
          <t>X</t>
        </is>
      </c>
      <c r="I44" t="inlineStr">
        <is>
          <t>CND</t>
        </is>
      </c>
    </row>
    <row r="45" ht="33" customHeight="1">
      <c r="A45" s="76" t="n"/>
      <c r="B45" s="76" t="n"/>
      <c r="C45" s="76" t="n"/>
      <c r="D45" s="76" t="n"/>
      <c r="E45" s="70" t="inlineStr">
        <is>
          <t>Operands biased to equal, ±1 apart, around 0 and around the sign boundary (0x7FFFFFFF / 0x80000000)  [corner]</t>
        </is>
      </c>
      <c r="F45" s="71" t="inlineStr">
        <is>
          <t>High</t>
        </is>
      </c>
      <c r="G45" s="71" t="inlineStr">
        <is>
          <t>X</t>
        </is>
      </c>
      <c r="H45" s="71" t="inlineStr">
        <is>
          <t>X</t>
        </is>
      </c>
      <c r="I45" t="inlineStr">
        <is>
          <t>CND</t>
        </is>
      </c>
    </row>
    <row r="46" ht="20" customHeight="1">
      <c r="A46" s="77" t="n"/>
      <c r="B46" s="77" t="n"/>
      <c r="C46" s="77" t="n"/>
      <c r="D46" s="77" t="n"/>
      <c r="E46" s="70" t="inlineStr">
        <is>
          <t>Same register as both operands; LR k vs CR k  [corner]</t>
        </is>
      </c>
      <c r="F46" s="71" t="inlineStr">
        <is>
          <t>Low</t>
        </is>
      </c>
      <c r="G46" s="71" t="inlineStr">
        <is>
          <t>X</t>
        </is>
      </c>
      <c r="H46" s="71" t="inlineStr">
        <is>
          <t>X</t>
        </is>
      </c>
      <c r="I46" t="inlineStr">
        <is>
          <t>CND</t>
        </is>
      </c>
    </row>
    <row r="47" ht="20" customHeight="1">
      <c r="A47" s="72" t="inlineStr">
        <is>
          <t>CND-02</t>
        </is>
      </c>
      <c r="B47" s="73" t="inlineStr">
        <is>
          <t>COND: branches</t>
        </is>
      </c>
      <c r="C47" s="74" t="inlineStr">
        <is>
          <t>The module shall always branch to reg[6:0] when BR is issued.</t>
        </is>
      </c>
      <c r="D47" s="74" t="inlineStr">
        <is>
          <t>Upper bits of reg ignored (PC_W = 7).</t>
        </is>
      </c>
      <c r="E47" s="74" t="inlineStr">
        <is>
          <t>Random reg (LR / CR) targets  [standard]</t>
        </is>
      </c>
      <c r="F47" s="75" t="inlineStr">
        <is>
          <t>High</t>
        </is>
      </c>
      <c r="G47" s="75" t="inlineStr">
        <is>
          <t>X</t>
        </is>
      </c>
      <c r="H47" s="75" t="inlineStr">
        <is>
          <t>X</t>
        </is>
      </c>
      <c r="I47" t="inlineStr">
        <is>
          <t>CND</t>
        </is>
      </c>
    </row>
    <row r="48" ht="33" customHeight="1">
      <c r="A48" s="77" t="n"/>
      <c r="B48" s="77" t="n"/>
      <c r="C48" s="77" t="n"/>
      <c r="D48" s="77" t="n"/>
      <c r="E48" s="74" t="inlineStr">
        <is>
          <t>Targets at the bank edges and reg values with upper bits set  [corner]</t>
        </is>
      </c>
      <c r="F48" s="75" t="inlineStr">
        <is>
          <t>Medium</t>
        </is>
      </c>
      <c r="G48" s="75" t="inlineStr">
        <is>
          <t>X</t>
        </is>
      </c>
      <c r="H48" s="75" t="inlineStr">
        <is>
          <t>X</t>
        </is>
      </c>
      <c r="I48" t="inlineStr">
        <is>
          <t>CND</t>
        </is>
      </c>
    </row>
    <row r="49" ht="33" customHeight="1">
      <c r="A49" s="68" t="inlineStr">
        <is>
          <t>HLT-01</t>
        </is>
      </c>
      <c r="B49" s="69" t="inlineStr">
        <is>
          <t>COND: HALT</t>
        </is>
      </c>
      <c r="C49" s="70" t="inlineStr">
        <is>
          <t>The module shall stop fetching after HALT: no later word executes and nothing is dispatched or loaded afterwards.</t>
        </is>
      </c>
      <c r="D49" s="70" t="inlineStr">
        <is>
          <t>Spec §6.4: PC and inst$ hold.</t>
        </is>
      </c>
      <c r="E49" s="70" t="inlineStr">
        <is>
          <t>HALT at random positions, reached by fall-through / label / BR; words after it carry poison  [standard]</t>
        </is>
      </c>
      <c r="F49" s="71" t="inlineStr">
        <is>
          <t>High</t>
        </is>
      </c>
      <c r="G49" s="71" t="inlineStr">
        <is>
          <t>X</t>
        </is>
      </c>
      <c r="H49" s="71" t="inlineStr">
        <is>
          <t>X</t>
        </is>
      </c>
      <c r="I49" t="inlineStr">
        <is>
          <t>HLT</t>
        </is>
      </c>
    </row>
    <row r="50" ht="33" customHeight="1">
      <c r="A50" s="76" t="n"/>
      <c r="B50" s="76" t="n"/>
      <c r="C50" s="76" t="n"/>
      <c r="D50" s="76" t="n"/>
      <c r="E50" s="70" t="inlineStr">
        <is>
          <t>HALT in the non-selected candidate of a branch must not stop the kernel  [corner]</t>
        </is>
      </c>
      <c r="F50" s="71" t="inlineStr">
        <is>
          <t>High</t>
        </is>
      </c>
      <c r="G50" s="71" t="inlineStr">
        <is>
          <t>X</t>
        </is>
      </c>
      <c r="H50" s="71" t="inlineStr">
        <is>
          <t>X</t>
        </is>
      </c>
      <c r="I50" t="inlineStr">
        <is>
          <t>HLT</t>
        </is>
      </c>
    </row>
    <row r="51" ht="20" customHeight="1">
      <c r="A51" s="77" t="n"/>
      <c r="B51" s="77" t="n"/>
      <c r="C51" s="77" t="n"/>
      <c r="D51" s="77" t="n"/>
      <c r="E51" s="70" t="inlineStr">
        <is>
          <t>HALT at the first and at the last bank entry  [corner]</t>
        </is>
      </c>
      <c r="F51" s="71" t="inlineStr">
        <is>
          <t>Medium</t>
        </is>
      </c>
      <c r="G51" s="71" t="inlineStr">
        <is>
          <t>X</t>
        </is>
      </c>
      <c r="H51" s="71" t="inlineStr">
        <is>
          <t>X</t>
        </is>
      </c>
      <c r="I51" t="inlineStr">
        <is>
          <t>HLT</t>
        </is>
      </c>
    </row>
    <row r="52" ht="46" customHeight="1">
      <c r="A52" s="72" t="inlineStr">
        <is>
          <t>HLT-02</t>
        </is>
      </c>
      <c r="B52" s="73" t="inlineStr">
        <is>
          <t>COND: HALT</t>
        </is>
      </c>
      <c r="C52" s="74" t="inlineStr">
        <is>
          <t>The module shall execute and dispatch every other slot of the HALT word exactly once.</t>
        </is>
      </c>
      <c r="D52" s="74" t="n"/>
      <c r="E52" s="74" t="inlineStr">
        <is>
          <t>HALT word with random LR lanes, load and MULT / ACC / AAQ / STORE slots  [standard]</t>
        </is>
      </c>
      <c r="F52" s="75" t="inlineStr">
        <is>
          <t>High</t>
        </is>
      </c>
      <c r="G52" s="75" t="inlineStr">
        <is>
          <t>X</t>
        </is>
      </c>
      <c r="H52" s="75" t="inlineStr">
        <is>
          <t>X</t>
        </is>
      </c>
      <c r="I52" t="inlineStr">
        <is>
          <t>HLT</t>
        </is>
      </c>
    </row>
    <row r="53" ht="33" customHeight="1">
      <c r="A53" s="68" t="inlineStr">
        <is>
          <t>HLT-03</t>
        </is>
      </c>
      <c r="B53" s="69" t="inlineStr">
        <is>
          <t>COND: HALT</t>
        </is>
      </c>
      <c r="C53" s="70" t="inlineStr">
        <is>
          <t>The module shall run the next kernel from PC 0 after HALT.</t>
        </is>
      </c>
      <c r="D53" s="70" t="inlineStr">
        <is>
          <t>How a kernel is started is not a CTRL port — Spec Questions Q13.</t>
        </is>
      </c>
      <c r="E53" s="70" t="inlineStr">
        <is>
          <t>Back-to-back kernels with different programs  [standard]</t>
        </is>
      </c>
      <c r="F53" s="71" t="inlineStr">
        <is>
          <t>Medium</t>
        </is>
      </c>
      <c r="G53" s="71" t="inlineStr">
        <is>
          <t>X</t>
        </is>
      </c>
      <c r="H53" s="71" t="inlineStr">
        <is>
          <t>X</t>
        </is>
      </c>
      <c r="I53" t="inlineStr">
        <is>
          <t>HLT</t>
        </is>
      </c>
    </row>
    <row r="54" ht="22" customHeight="1">
      <c r="A54" s="66" t="inlineStr">
        <is>
          <t>D. FETCH / PC</t>
        </is>
      </c>
      <c r="B54" s="67" t="n"/>
      <c r="C54" s="67" t="n"/>
      <c r="D54" s="67" t="n"/>
      <c r="E54" s="67" t="n"/>
      <c r="F54" s="67" t="n"/>
      <c r="G54" s="67" t="n"/>
      <c r="H54" s="67" t="n"/>
    </row>
    <row r="55" ht="33" customHeight="1">
      <c r="A55" s="68" t="inlineStr">
        <is>
          <t>FET-01</t>
        </is>
      </c>
      <c r="B55" s="69" t="inlineStr">
        <is>
          <t>Fetch / PC</t>
        </is>
      </c>
      <c r="C55" s="70" t="inlineStr">
        <is>
          <t>The module shall execute the correct next word in the very next cycle for both taken and not-taken branches (no bubble).</t>
        </is>
      </c>
      <c r="D55" s="70" t="inlineStr">
        <is>
          <t>Spec §5: dual IMEM read, taken selects. Label absolute vs relative — Spec Questions Q3.</t>
        </is>
      </c>
      <c r="E55" s="70" t="inlineStr">
        <is>
          <t>Random programs, branch density varied, all branch opcodes, taken and not-taken  [standard]</t>
        </is>
      </c>
      <c r="F55" s="71" t="inlineStr">
        <is>
          <t>High</t>
        </is>
      </c>
      <c r="G55" s="71" t="inlineStr">
        <is>
          <t>X</t>
        </is>
      </c>
      <c r="H55" s="71" t="inlineStr">
        <is>
          <t>X</t>
        </is>
      </c>
      <c r="I55" t="inlineStr">
        <is>
          <t>FET</t>
        </is>
      </c>
    </row>
    <row r="56" ht="33" customHeight="1">
      <c r="A56" s="77" t="n"/>
      <c r="B56" s="77" t="n"/>
      <c r="C56" s="77" t="n"/>
      <c r="D56" s="77" t="n"/>
      <c r="E56" s="70" t="inlineStr">
        <is>
          <t>Back-to-back / chained branches; targets at 0, PC, PC+1, last entry  [corner]</t>
        </is>
      </c>
      <c r="F56" s="71" t="inlineStr">
        <is>
          <t>High</t>
        </is>
      </c>
      <c r="G56" s="71" t="inlineStr">
        <is>
          <t>X</t>
        </is>
      </c>
      <c r="H56" s="71" t="inlineStr">
        <is>
          <t>X</t>
        </is>
      </c>
      <c r="I56" t="inlineStr">
        <is>
          <t>FET</t>
        </is>
      </c>
    </row>
    <row r="57" ht="33" customHeight="1">
      <c r="A57" s="72" t="inlineStr">
        <is>
          <t>FET-02</t>
        </is>
      </c>
      <c r="B57" s="73" t="inlineStr">
        <is>
          <t>Fetch / PC</t>
        </is>
      </c>
      <c r="C57" s="74" t="inlineStr">
        <is>
          <t>The module shall execute loops and nested loops driven by LR counters.</t>
        </is>
      </c>
      <c r="D57" s="74" t="n"/>
      <c r="E57" s="74" t="inlineStr">
        <is>
          <t>Random trip counts incl. 0 and 1, nesting 1..3 levels  [standard]</t>
        </is>
      </c>
      <c r="F57" s="75" t="inlineStr">
        <is>
          <t>High</t>
        </is>
      </c>
      <c r="G57" s="75" t="inlineStr">
        <is>
          <t>X</t>
        </is>
      </c>
      <c r="H57" s="75" t="inlineStr">
        <is>
          <t>X</t>
        </is>
      </c>
      <c r="I57" t="inlineStr">
        <is>
          <t>FET</t>
        </is>
      </c>
    </row>
    <row r="58" ht="46" customHeight="1">
      <c r="A58" s="68" t="inlineStr">
        <is>
          <t>FET-03</t>
        </is>
      </c>
      <c r="B58" s="69" t="inlineStr">
        <is>
          <t>Fetch / PC</t>
        </is>
      </c>
      <c r="C58" s="70" t="inlineStr">
        <is>
          <t>The module shall execute the same word sequence as the reference model on any legal program.</t>
        </is>
      </c>
      <c r="D58" s="70" t="inlineStr">
        <is>
          <t>End-to-end trace check: executed PC, LR file, buses, load port.</t>
        </is>
      </c>
      <c r="E58" s="70" t="inlineStr">
        <is>
          <t>Long fully random legal programs (all slots filled)  [standard]</t>
        </is>
      </c>
      <c r="F58" s="71" t="inlineStr">
        <is>
          <t>High</t>
        </is>
      </c>
      <c r="G58" s="71" t="inlineStr">
        <is>
          <t>X</t>
        </is>
      </c>
      <c r="H58" s="71" t="inlineStr">
        <is>
          <t>X</t>
        </is>
      </c>
      <c r="I58" t="inlineStr">
        <is>
          <t>FET</t>
        </is>
      </c>
    </row>
    <row r="59" ht="22" customHeight="1">
      <c r="A59" s="66" t="inlineStr">
        <is>
          <t>E. DISPATCH BUSES &amp; XMEM LOAD — slot fields are passed through; only operand resolution is CTRL-specific</t>
        </is>
      </c>
      <c r="B59" s="67" t="n"/>
      <c r="C59" s="67" t="n"/>
      <c r="D59" s="67" t="n"/>
      <c r="E59" s="67" t="n"/>
      <c r="F59" s="67" t="n"/>
      <c r="G59" s="67" t="n"/>
      <c r="H59" s="67" t="n"/>
    </row>
    <row r="60" ht="46" customHeight="1">
      <c r="A60" s="68" t="inlineStr">
        <is>
          <t>DSP-01</t>
        </is>
      </c>
      <c r="B60" s="69" t="inlineStr">
        <is>
          <t>Dispatch &amp; XMEM load</t>
        </is>
      </c>
      <c r="C60" s="70" t="inlineStr">
        <is>
          <t>The module shall drive each slot's fields unmodified on mult / acc / aaq / str buses, all in the same cycle as the load port.</t>
        </is>
      </c>
      <c r="D60" s="70" t="inlineStr">
        <is>
          <t>Low risk: a copy of the VLIW word.</t>
        </is>
      </c>
      <c r="E60" s="70" t="inlineStr">
        <is>
          <t>Random words, random NOP slots  [standard]</t>
        </is>
      </c>
      <c r="F60" s="71" t="inlineStr">
        <is>
          <t>Medium</t>
        </is>
      </c>
      <c r="G60" s="71" t="inlineStr">
        <is>
          <t>X</t>
        </is>
      </c>
      <c r="H60" s="71" t="inlineStr">
        <is>
          <t>X</t>
        </is>
      </c>
      <c r="I60" t="inlineStr">
        <is>
          <t>DSP</t>
        </is>
      </c>
    </row>
    <row r="61" ht="59" customHeight="1">
      <c r="A61" s="72" t="inlineStr">
        <is>
          <t>DSP-02</t>
        </is>
      </c>
      <c r="B61" s="73" t="inlineStr">
        <is>
          <t>Dispatch &amp; XMEM load</t>
        </is>
      </c>
      <c r="C61" s="74" t="inlineStr">
        <is>
          <t>The module shall pack on the buses the post-LR-write value of every CR/LR operand, while its own LR/branch reads use the snapshot.</t>
        </is>
      </c>
      <c r="D61" s="74" t="inlineStr">
        <is>
          <t>Spec §5 / §7.</t>
        </is>
      </c>
      <c r="E61" s="74" t="inlineStr">
        <is>
          <t>Words where a bus operand LR is written by a lane in the same word (any opcode, lane, bus)  [corner]</t>
        </is>
      </c>
      <c r="F61" s="75" t="inlineStr">
        <is>
          <t>High</t>
        </is>
      </c>
      <c r="G61" s="75" t="inlineStr">
        <is>
          <t>X</t>
        </is>
      </c>
      <c r="H61" s="75" t="inlineStr">
        <is>
          <t>X</t>
        </is>
      </c>
      <c r="I61" t="inlineStr">
        <is>
          <t>DSP</t>
        </is>
      </c>
    </row>
    <row r="62" ht="20" customHeight="1">
      <c r="A62" s="68" t="inlineStr">
        <is>
          <t>DSP-03</t>
        </is>
      </c>
      <c r="B62" s="69" t="inlineStr">
        <is>
          <t>Dispatch &amp; XMEM load</t>
        </is>
      </c>
      <c r="C62" s="70" t="inlineStr">
        <is>
          <t>The module shall drive xmem_read_addr = CR[base] + LR[offset] (post-LR-write LR), truncated to XMEM_ADDR_W.</t>
        </is>
      </c>
      <c r="D62" s="70" t="n"/>
      <c r="E62" s="70" t="inlineStr">
        <is>
          <t>Random base / offset indices and values  [standard]</t>
        </is>
      </c>
      <c r="F62" s="71" t="inlineStr">
        <is>
          <t>High</t>
        </is>
      </c>
      <c r="G62" s="71" t="inlineStr">
        <is>
          <t>X</t>
        </is>
      </c>
      <c r="H62" s="71" t="inlineStr">
        <is>
          <t>X</t>
        </is>
      </c>
      <c r="I62" t="inlineStr">
        <is>
          <t>DSP</t>
        </is>
      </c>
    </row>
    <row r="63" ht="20" customHeight="1">
      <c r="A63" s="76" t="n"/>
      <c r="B63" s="76" t="n"/>
      <c r="C63" s="76" t="n"/>
      <c r="D63" s="76" t="n"/>
      <c r="E63" s="70" t="inlineStr">
        <is>
          <t>Offset LR written in the same word  [corner]</t>
        </is>
      </c>
      <c r="F63" s="71" t="inlineStr">
        <is>
          <t>High</t>
        </is>
      </c>
      <c r="G63" s="71" t="inlineStr">
        <is>
          <t>X</t>
        </is>
      </c>
      <c r="H63" s="71" t="inlineStr">
        <is>
          <t>X</t>
        </is>
      </c>
      <c r="I63" t="inlineStr">
        <is>
          <t>DSP</t>
        </is>
      </c>
    </row>
    <row r="64" ht="20" customHeight="1">
      <c r="A64" s="77" t="n"/>
      <c r="B64" s="77" t="n"/>
      <c r="C64" s="77" t="n"/>
      <c r="D64" s="77" t="n"/>
      <c r="E64" s="70" t="inlineStr">
        <is>
          <t>Sum overflow past XMEM_ADDR_W and negative offsets  [corner]</t>
        </is>
      </c>
      <c r="F64" s="71" t="inlineStr">
        <is>
          <t>Medium</t>
        </is>
      </c>
      <c r="G64" s="71" t="inlineStr">
        <is>
          <t>X</t>
        </is>
      </c>
      <c r="H64" s="71" t="inlineStr">
        <is>
          <t>X</t>
        </is>
      </c>
      <c r="I64" t="inlineStr">
        <is>
          <t>DSP</t>
        </is>
      </c>
    </row>
    <row r="65" ht="33" customHeight="1">
      <c r="A65" s="72" t="inlineStr">
        <is>
          <t>DSP-04</t>
        </is>
      </c>
      <c r="B65" s="73" t="inlineStr">
        <is>
          <t>Dispatch &amp; XMEM load</t>
        </is>
      </c>
      <c r="C65" s="74" t="inlineStr">
        <is>
          <t>The module shall assert xmem_read_en only for non-NOP loads of the executed path.</t>
        </is>
      </c>
      <c r="D65" s="74" t="n"/>
      <c r="E65" s="74" t="inlineStr">
        <is>
          <t>Random load density (every word, sparse, none), incl. loads in branch and HALT words  [standard]</t>
        </is>
      </c>
      <c r="F65" s="75" t="inlineStr">
        <is>
          <t>High</t>
        </is>
      </c>
      <c r="G65" s="75" t="inlineStr">
        <is>
          <t>X</t>
        </is>
      </c>
      <c r="H65" s="75" t="inlineStr">
        <is>
          <t>X</t>
        </is>
      </c>
      <c r="I65" t="inlineStr">
        <is>
          <t>DSP</t>
        </is>
      </c>
    </row>
    <row r="66" ht="20" customHeight="1">
      <c r="A66" s="77" t="n"/>
      <c r="B66" s="77" t="n"/>
      <c r="C66" s="77" t="n"/>
      <c r="D66" s="77" t="n"/>
      <c r="E66" s="74" t="inlineStr">
        <is>
          <t>Load only in the non-selected candidate → no read  [corner]</t>
        </is>
      </c>
      <c r="F66" s="75" t="inlineStr">
        <is>
          <t>High</t>
        </is>
      </c>
      <c r="G66" s="75" t="inlineStr">
        <is>
          <t>X</t>
        </is>
      </c>
      <c r="H66" s="75" t="inlineStr">
        <is>
          <t>X</t>
        </is>
      </c>
      <c r="I66" t="inlineStr">
        <is>
          <t>DSP</t>
        </is>
      </c>
    </row>
    <row r="67" ht="22" customHeight="1">
      <c r="A67" s="66" t="inlineStr">
        <is>
          <t>F. SPEC-DEPENDENT — not defined yet</t>
        </is>
      </c>
      <c r="B67" s="67" t="n"/>
      <c r="C67" s="67" t="n"/>
      <c r="D67" s="67" t="n"/>
      <c r="E67" s="67" t="n"/>
      <c r="F67" s="67" t="n"/>
      <c r="G67" s="67" t="n"/>
      <c r="H67" s="67" t="n"/>
    </row>
    <row r="68" ht="46" customHeight="1">
      <c r="A68" s="68" t="inlineStr">
        <is>
          <t>MEM-01</t>
        </is>
      </c>
      <c r="B68" s="69" t="inlineStr">
        <is>
          <t>Memory wait (spec TBD)</t>
        </is>
      </c>
      <c r="C68" s="70" t="inlineStr">
        <is>
          <t>[PLACEHOLDER] The module shall define its behavior when XMEM data is not ready (wait / stall).</t>
        </is>
      </c>
      <c r="D68" s="70" t="inlineStr">
        <is>
          <t>Spec mentions 'bubble' but §9 says no interlocks and §9.2 does not exist. Fill in when the spec is updated.</t>
        </is>
      </c>
      <c r="E68" s="70" t="inlineStr">
        <is>
          <t>[TBD-spec] Stalled word: PC / inst$ hold, LR writes commit exactly once (INC / DEC / ADDB must not re-apply), buses and load port not duplicated  [corner]</t>
        </is>
      </c>
      <c r="F68" s="71" t="inlineStr">
        <is>
          <t>High</t>
        </is>
      </c>
      <c r="G68" s="71" t="inlineStr">
        <is>
          <t>X</t>
        </is>
      </c>
      <c r="H68" s="71" t="inlineStr">
        <is>
          <t>X</t>
        </is>
      </c>
      <c r="I68" t="inlineStr">
        <is>
          <t>MEM</t>
        </is>
      </c>
    </row>
  </sheetData>
  <autoFilter ref="A5:H68"/>
  <mergeCells count="61">
    <mergeCell ref="D62:D64"/>
    <mergeCell ref="A67:H67"/>
    <mergeCell ref="A12:A14"/>
    <mergeCell ref="D15:D17"/>
    <mergeCell ref="B47:B48"/>
    <mergeCell ref="C12:C14"/>
    <mergeCell ref="B49:B51"/>
    <mergeCell ref="A59:H59"/>
    <mergeCell ref="D12:D14"/>
    <mergeCell ref="D65:D66"/>
    <mergeCell ref="A33:A35"/>
    <mergeCell ref="B15:B17"/>
    <mergeCell ref="B21:B24"/>
    <mergeCell ref="A11:H11"/>
    <mergeCell ref="D21:D24"/>
    <mergeCell ref="D25:D27"/>
    <mergeCell ref="A1:H1"/>
    <mergeCell ref="B33:B35"/>
    <mergeCell ref="D33:D35"/>
    <mergeCell ref="D18:D20"/>
    <mergeCell ref="A6:H6"/>
    <mergeCell ref="A62:A64"/>
    <mergeCell ref="A44:A46"/>
    <mergeCell ref="A65:A66"/>
    <mergeCell ref="C65:C66"/>
    <mergeCell ref="C47:C48"/>
    <mergeCell ref="A54:H54"/>
    <mergeCell ref="D44:D46"/>
    <mergeCell ref="A55:A56"/>
    <mergeCell ref="A15:A17"/>
    <mergeCell ref="A21:A24"/>
    <mergeCell ref="B25:B27"/>
    <mergeCell ref="C21:C24"/>
    <mergeCell ref="C33:C35"/>
    <mergeCell ref="D47:D48"/>
    <mergeCell ref="C55:C56"/>
    <mergeCell ref="A49:A51"/>
    <mergeCell ref="C62:C64"/>
    <mergeCell ref="C18:C20"/>
    <mergeCell ref="C49:C51"/>
    <mergeCell ref="B28:B31"/>
    <mergeCell ref="D28:D31"/>
    <mergeCell ref="B62:B64"/>
    <mergeCell ref="D49:D51"/>
    <mergeCell ref="C15:C17"/>
    <mergeCell ref="B65:B66"/>
    <mergeCell ref="B12:B14"/>
    <mergeCell ref="A2:H2"/>
    <mergeCell ref="A47:A48"/>
    <mergeCell ref="B55:B56"/>
    <mergeCell ref="D55:D56"/>
    <mergeCell ref="A32:H32"/>
    <mergeCell ref="B18:B20"/>
    <mergeCell ref="C44:C46"/>
    <mergeCell ref="C28:C31"/>
    <mergeCell ref="C25:C27"/>
    <mergeCell ref="A43:H43"/>
    <mergeCell ref="A25:A27"/>
    <mergeCell ref="A28:A31"/>
    <mergeCell ref="B44:B46"/>
    <mergeCell ref="A18:A20"/>
  </mergeCells>
  <conditionalFormatting sqref="G6:H68">
    <cfRule type="cellIs" priority="1" operator="equal" dxfId="5">
      <formula>"V"</formula>
    </cfRule>
    <cfRule type="cellIs" priority="2" operator="equal" dxfId="6">
      <formula>"X"</formula>
    </cfRule>
  </conditionalFormatting>
  <conditionalFormatting sqref="F6:F68">
    <cfRule type="cellIs" priority="3" operator="equal" dxfId="7">
      <formula>"High"</formula>
    </cfRule>
    <cfRule type="cellIs" priority="4" operator="equal" dxfId="8">
      <formula>"Medium"</formula>
    </cfRule>
    <cfRule type="cellIs" priority="5" operator="equal" dxfId="9">
      <formula>"Low"</formula>
    </cfRule>
  </conditionalFormatting>
  <dataValidations count="2">
    <dataValidation sqref="F6:F68" showDropDown="0" showInputMessage="0" showErrorMessage="0" allowBlank="1" type="list">
      <formula1>"High,Medium,Low"</formula1>
    </dataValidation>
    <dataValidation sqref="G6:H68" showDropDown="0" showInputMessage="0" showErrorMessage="0" allowBlank="1" type="list">
      <formula1>"V,X"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2" customWidth="1" min="3" max="3"/>
    <col width="46" customWidth="1" min="4" max="4"/>
    <col width="46" customWidth="1" min="5" max="5"/>
  </cols>
  <sheetData>
    <row r="1" ht="32" customHeight="1">
      <c r="A1" s="78" t="inlineStr">
        <is>
          <t>Spec Questions — to close with the designer before the VP is built</t>
        </is>
      </c>
    </row>
    <row r="2">
      <c r="A2" s="79" t="inlineStr">
        <is>
          <t>Findings from reading specs/stage-control: inconsistencies and gaps that block exact checker expectations.</t>
        </is>
      </c>
    </row>
    <row r="4">
      <c r="A4" s="54" t="inlineStr">
        <is>
          <t>#</t>
        </is>
      </c>
      <c r="B4" s="54" t="inlineStr">
        <is>
          <t>Spec location</t>
        </is>
      </c>
      <c r="C4" s="54" t="inlineStr">
        <is>
          <t>Finding</t>
        </is>
      </c>
      <c r="D4" s="54" t="inlineStr">
        <is>
          <t>Impact on verification</t>
        </is>
      </c>
      <c r="E4" s="54" t="inlineStr">
        <is>
          <t>Question for the designer</t>
        </is>
      </c>
    </row>
    <row r="5" ht="47" customHeight="1">
      <c r="A5" s="80" t="inlineStr">
        <is>
          <t>Q1</t>
        </is>
      </c>
      <c r="B5" s="81" t="inlineStr">
        <is>
          <t>§10 intro, §8, Summary table</t>
        </is>
      </c>
      <c r="C5" s="81" t="inlineStr">
        <is>
          <t>Intro says '11 mnemonics: four LR ops + seven branches'; §8 lists LR ops 'SET/ADD/SUB/INC.MODP2'. The table and §4 list 8 LR ops and 5 branches + HALT (6 COND).</t>
        </is>
      </c>
      <c r="D5" s="81" t="inlineStr">
        <is>
          <t>Stale text – risk that the AL misses or invents an opcode.</t>
        </is>
      </c>
      <c r="E5" s="81" t="inlineStr">
        <is>
          <t>Confirm the final opcode set is 8 LR + 5 branch + HALT.</t>
        </is>
      </c>
    </row>
    <row r="6" ht="34" customHeight="1">
      <c r="A6" s="80" t="inlineStr">
        <is>
          <t>Q2</t>
        </is>
      </c>
      <c r="B6" s="81" t="inlineStr">
        <is>
          <t>§2 diagram vs §4</t>
        </is>
      </c>
      <c r="C6" s="81" t="inlineStr">
        <is>
          <t>Diagram says 'CR file 2 x 16 x 20bit' and 'LR file 16 x 20bit'; §4 REG_WIDTH = 32.</t>
        </is>
      </c>
      <c r="D6" s="81" t="inlineStr">
        <is>
          <t>Width decides all overflow / wrap corners (0xFFFFFFFF vs 20-bit).</t>
        </is>
      </c>
      <c r="E6" s="81" t="inlineStr">
        <is>
          <t>Is every CR/LR 32 bit? (AL assumes 32.)</t>
        </is>
      </c>
    </row>
    <row r="7" ht="34" customHeight="1">
      <c r="A7" s="80" t="inlineStr">
        <is>
          <t>Q3</t>
        </is>
      </c>
      <c r="B7" s="81" t="inlineStr">
        <is>
          <t>§6.3 vs §10.2</t>
        </is>
      </c>
      <c r="C7" s="81" t="inlineStr">
        <is>
          <t>§6.3 / pseudo-code use next_pc = label (absolute). §10.2 says 'label is a relative offset resolved by the assembler'.</t>
        </is>
      </c>
      <c r="D7" s="81" t="inlineStr">
        <is>
          <t>Absolute vs relative changes target computation, wrap and range corners (FET-01).</t>
        </is>
      </c>
      <c r="E7" s="81" t="inlineStr">
        <is>
          <t>Does the label field in IMEM hold an absolute address or a PC-relative offset?</t>
        </is>
      </c>
    </row>
    <row r="8" ht="34" customHeight="1">
      <c r="A8" s="80" t="inlineStr">
        <is>
          <t>Q4</t>
        </is>
      </c>
      <c r="B8" s="81" t="inlineStr">
        <is>
          <t>§1, §10.1.7</t>
        </is>
      </c>
      <c r="C8" s="81" t="inlineStr">
        <is>
          <t>'Up to three local-register writes per cycle', but ADDB/ADDBI write two LRs (the pair) each → up to six.</t>
        </is>
      </c>
      <c r="D8" s="81" t="inlineStr">
        <is>
          <t>Number of LR write ports / pair conflicts (LAN-01, SYS-02).</t>
        </is>
      </c>
      <c r="E8" s="81" t="inlineStr">
        <is>
          <t>Is the LR file 6-write? What happens if pairs overlap other lanes?</t>
        </is>
      </c>
    </row>
    <row r="9" ht="34" customHeight="1">
      <c r="A9" s="80" t="inlineStr">
        <is>
          <t>Q5</t>
        </is>
      </c>
      <c r="B9" s="81" t="inlineStr">
        <is>
          <t>§10.1 (self-reference '§10')</t>
        </is>
      </c>
      <c r="C9" s="81" t="inlineStr">
        <is>
          <t>'Programs must not target the same destination LR from two lanes' – no hardware behavior stated.</t>
        </is>
      </c>
      <c r="D9" s="81" t="inlineStr">
        <is>
          <t>Needed to turn SYS-02 into a checker (lane priority? last lane wins? undefined?).</t>
        </is>
      </c>
      <c r="E9" s="81" t="inlineStr">
        <is>
          <t>Define the behavior or declare it undefined/ignored.</t>
        </is>
      </c>
    </row>
    <row r="10" ht="34" customHeight="1">
      <c r="A10" s="80" t="inlineStr">
        <is>
          <t>Q6</t>
        </is>
      </c>
      <c r="B10" s="81" t="inlineStr">
        <is>
          <t>§3.1</t>
        </is>
      </c>
      <c r="C10" s="81" t="inlineStr">
        <is>
          <t>Reset 'clears any pending LR writes' – LR values after reset are not stated.</t>
        </is>
      </c>
      <c r="D10" s="81" t="inlineStr">
        <is>
          <t>LRF-02 cannot check the post-reset LR value.</t>
        </is>
      </c>
      <c r="E10" s="81" t="inlineStr">
        <is>
          <t>Are LR0..LR15 reset to 0? What is a 'pending LR write'?</t>
        </is>
      </c>
    </row>
    <row r="11" ht="30" customHeight="1">
      <c r="A11" s="80" t="inlineStr">
        <is>
          <t>Q7</t>
        </is>
      </c>
      <c r="B11" s="81" t="inlineStr">
        <is>
          <t>§5, §10.1</t>
        </is>
      </c>
      <c r="C11" s="81" t="inlineStr">
        <is>
          <t>No LR-slot NOP is mentioned (only COND/load NOP).</t>
        </is>
      </c>
      <c r="D11" s="81" t="inlineStr">
        <is>
          <t>LAN-01 assumes an LR NOP encoding.</t>
        </is>
      </c>
      <c r="E11" s="81" t="inlineStr">
        <is>
          <t>How is an unused LR lane encoded?</t>
        </is>
      </c>
    </row>
    <row r="12" ht="47" customHeight="1">
      <c r="A12" s="80" t="inlineStr">
        <is>
          <t>Q8</t>
        </is>
      </c>
      <c r="B12" s="81" t="inlineStr">
        <is>
          <t>§7.1, §9</t>
        </is>
      </c>
      <c r="C12" s="81" t="inlineStr">
        <is>
          <t>xmem_read_en is gated by '!bubble' and refers to '§9.2'; §9 says no hazard interlocks exist and §9.2 does not exist.</t>
        </is>
      </c>
      <c r="D12" s="81" t="inlineStr">
        <is>
          <t>Memory-wait / stall behavior is undefined (group MEM is a placeholder).</t>
        </is>
      </c>
      <c r="E12" s="81" t="inlineStr">
        <is>
          <t>Provide the updated wait/stall mechanism (stall input? bubble counter? who holds PC / LR commit?).</t>
        </is>
      </c>
    </row>
    <row r="13" ht="34" customHeight="1">
      <c r="A13" s="80" t="inlineStr">
        <is>
          <t>Q9</t>
        </is>
      </c>
      <c r="B13" s="81" t="inlineStr">
        <is>
          <t>§10.1.4</t>
        </is>
      </c>
      <c r="C13" s="81" t="inlineStr">
        <is>
          <t>INC.MODP2 k is 4 bits encoded k-1, semantic range 1..9; encodings 9..15 are not described.</t>
        </is>
      </c>
      <c r="D13" s="81" t="inlineStr">
        <is>
          <t>Expected result for illegal k (SYS-02).</t>
        </is>
      </c>
      <c r="E13" s="81" t="inlineStr">
        <is>
          <t>Is the encoding legal-checked, saturated or just masked?</t>
        </is>
      </c>
    </row>
    <row r="14" ht="34" customHeight="1">
      <c r="A14" s="80" t="inlineStr">
        <is>
          <t>Q10</t>
        </is>
      </c>
      <c r="B14" s="81" t="inlineStr">
        <is>
          <t>§10.1.7-8</t>
        </is>
      </c>
      <c r="C14" s="81" t="inlineStr">
        <is>
          <t>Byte-element order inside LRDn is not stated (which LR holds elements 0-3; element 0 = bits [7:0]?).</t>
        </is>
      </c>
      <c r="D14" s="81" t="inlineStr">
        <is>
          <t>ADB-01 checker needs the exact lane mapping.</t>
        </is>
      </c>
      <c r="E14" s="81" t="inlineStr">
        <is>
          <t>Confirm element i = LRD bits [8i+7:8i], LR(n) = low half.</t>
        </is>
      </c>
    </row>
    <row r="15" ht="47" customHeight="1">
      <c r="A15" s="80" t="inlineStr">
        <is>
          <t>Q11</t>
        </is>
      </c>
      <c r="B15" s="81" t="inlineStr">
        <is>
          <t>§1, §7.1</t>
        </is>
      </c>
      <c r="C15" s="81" t="inlineStr">
        <is>
          <t>The load slot 'has no opcode' yet 'writes into R0/R1/R_CYCLIC/R_MASK' – the destination register is not visible on the CTRL ports (only addr + en).</t>
        </is>
      </c>
      <c r="D15" s="81" t="inlineStr">
        <is>
          <t>Whether CTRL must forward a destination-select with the load.</t>
        </is>
      </c>
      <c r="E15" s="81" t="inlineStr">
        <is>
          <t>Is the destination select part of xmem_read_* or of mult_vliw_bus?</t>
        </is>
      </c>
    </row>
    <row r="16" ht="34" customHeight="1">
      <c r="A16" s="80" t="inlineStr">
        <is>
          <t>Q12</t>
        </is>
      </c>
      <c r="B16" s="81" t="inlineStr">
        <is>
          <t>§6.3, §4</t>
        </is>
      </c>
      <c r="C16" s="81" t="inlineStr">
        <is>
          <t>PC_W = 7 (bank depth 128) but IMEM_DEPTH = 256. Behavior of PC+1 past the last entry is unspecified.</t>
        </is>
      </c>
      <c r="D16" s="81" t="inlineStr">
        <is>
          <t>Illegal PC range (SYS-02).</t>
        </is>
      </c>
      <c r="E16" s="81" t="inlineStr">
        <is>
          <t>Does PC wrap, stop, or is it illegal?</t>
        </is>
      </c>
    </row>
    <row r="17" ht="34" customHeight="1">
      <c r="A17" s="80" t="inlineStr">
        <is>
          <t>Q13</t>
        </is>
      </c>
      <c r="B17" s="81" t="inlineStr">
        <is>
          <t>§6.4, §3 black box</t>
        </is>
      </c>
      <c r="C17" s="81" t="inlineStr">
        <is>
          <t>Spec cites kernel_done, IPU-EXEC-13 (restart at PC 0) and imem_bank_sel, but none of them is a port of CTRL.</t>
        </is>
      </c>
      <c r="D17" s="81" t="inlineStr">
        <is>
          <t>HLT-03: how are kernel start / done observed and driven?</t>
        </is>
      </c>
      <c r="E17" s="81" t="inlineStr">
        <is>
          <t>Provide the start / done interface (APB register? side-band?).</t>
        </is>
      </c>
    </row>
    <row r="18" ht="34" customHeight="1">
      <c r="A18" s="80" t="inlineStr">
        <is>
          <t>Q14</t>
        </is>
      </c>
      <c r="B18" s="81" t="inlineStr">
        <is>
          <t>§8</t>
        </is>
      </c>
      <c r="C18" s="81" t="inlineStr">
        <is>
          <t>'New active bank takes effect on the next CTRL fetch cycle' – behavior of a swap while a kernel is running is not defined.</t>
        </is>
      </c>
      <c r="D18" s="81" t="inlineStr">
        <is>
          <t>Out of this AL revision (APB), but affects fetch coherence.</t>
        </is>
      </c>
      <c r="E18" s="81" t="inlineStr">
        <is>
          <t>Is swap while running illegal?</t>
        </is>
      </c>
    </row>
    <row r="19" ht="34" customHeight="1">
      <c r="A19" s="80" t="inlineStr">
        <is>
          <t>Q15</t>
        </is>
      </c>
      <c r="B19" s="81" t="inlineStr">
        <is>
          <t>§10.2</t>
        </is>
      </c>
      <c r="C19" s="81" t="inlineStr">
        <is>
          <t>COND pseudo-code reads reg1 and reg2 for every op including BR / HALT; BR reg is also read from the snapshot.</t>
        </is>
      </c>
      <c r="D19" s="81" t="inlineStr">
        <is>
          <t>TIM-02 for BR.</t>
        </is>
      </c>
      <c r="E19" s="81" t="inlineStr">
        <is>
          <t>Confirm BR target reads the same prior-cycle snapshot as the compares.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Attribute List Template</dc:title>
  <dcterms:created xmlns:dcterms="http://purl.org/dc/terms/" xmlns:xsi="http://www.w3.org/2001/XMLSchema-instance" xsi:type="dcterms:W3CDTF">2026-09-28T11:54:19Z</dcterms:created>
  <dcterms:modified xmlns:dcterms="http://purl.org/dc/terms/" xmlns:xsi="http://www.w3.org/2001/XMLSchema-instance" xsi:type="dcterms:W3CDTF">2026-10-22T06:36:38Z</dcterms:modified>
</cp:coreProperties>
</file>