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xmlns:r="http://schemas.openxmlformats.org/officeDocument/2006/relationships" name="How to Fill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AL" sheetId="3" state="visible" r:id="rId3"/>
    <sheet xmlns:r="http://schemas.openxmlformats.org/officeDocument/2006/relationships" name="Spec Questions" sheetId="4" state="visible" r:id="rId4"/>
  </sheets>
  <definedNames>
    <definedName name="_xlnm._FilterDatabase" localSheetId="2" hidden="1">'AL'!$A$5:$H$335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b val="1"/>
      <color rgb="001F3864"/>
      <sz val="9"/>
    </font>
    <font>
      <name val="Arial"/>
      <b val="1"/>
      <color rgb="00833C0B"/>
      <sz val="9"/>
    </font>
    <font>
      <name val="Arial"/>
      <b val="1"/>
      <color rgb="007F6000"/>
      <sz val="9"/>
    </font>
    <font>
      <name val="Arial"/>
      <b val="1"/>
      <color rgb="00375623"/>
      <sz val="9"/>
    </font>
    <font>
      <name val="Arial"/>
      <b val="1"/>
      <color rgb="00006100"/>
      <sz val="9"/>
    </font>
    <font>
      <name val="Arial"/>
      <b val="1"/>
      <color rgb="009C0006"/>
      <sz val="9"/>
    </font>
    <font>
      <name val="Arial"/>
      <b val="1"/>
      <color rgb="00FFFFFF"/>
      <sz val="10"/>
    </font>
    <font>
      <name val="Arial"/>
      <b val="1"/>
      <color rgb="001F3864"/>
      <sz val="11"/>
    </font>
    <font>
      <name val="Arial"/>
      <sz val="10"/>
    </font>
    <font>
      <name val="Arial"/>
      <b val="1"/>
      <color rgb="001F3864"/>
      <sz val="10"/>
    </font>
    <font>
      <name val="Arial"/>
      <color rgb="00000000"/>
      <sz val="10"/>
    </font>
    <font>
      <name val="Arial"/>
      <i val="1"/>
      <color rgb="00595959"/>
      <sz val="10"/>
    </font>
    <font>
      <name val="Arial"/>
      <b val="1"/>
      <color rgb="00000000"/>
      <sz val="10"/>
    </font>
    <font>
      <name val="Arial"/>
      <color rgb="00FFFFFF"/>
      <sz val="10"/>
    </font>
    <font>
      <name val="Arial"/>
      <color rgb="00595959"/>
      <sz val="10"/>
    </font>
    <font>
      <name val="Arial"/>
      <b val="1"/>
      <sz val="10"/>
    </font>
  </fonts>
  <fills count="2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546A"/>
        <bgColor rgb="0044546A"/>
      </patternFill>
    </fill>
    <fill>
      <patternFill patternType="solid">
        <fgColor rgb="00EEF2F8"/>
        <bgColor rgb="00EEF2F8"/>
      </patternFill>
    </fill>
    <fill>
      <patternFill patternType="solid">
        <fgColor rgb="00F8CBAD"/>
        <bgColor rgb="00F8CBAD"/>
      </patternFill>
    </fill>
    <fill>
      <patternFill patternType="solid">
        <fgColor rgb="00FFE699"/>
        <bgColor rgb="00FFE699"/>
      </patternFill>
    </fill>
    <fill>
      <patternFill patternType="solid">
        <fgColor rgb="00C6E0B4"/>
        <bgColor rgb="00C6E0B4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F2F5FA"/>
        <bgColor rgb="00F2F5FA"/>
      </patternFill>
    </fill>
    <fill>
      <patternFill patternType="solid">
        <fgColor rgb="001F3864"/>
      </patternFill>
    </fill>
    <fill>
      <patternFill patternType="solid">
        <fgColor rgb="0044546A"/>
      </patternFill>
    </fill>
    <fill>
      <patternFill patternType="solid">
        <fgColor rgb="00EEF2F8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2F5FA"/>
      </patternFill>
    </fill>
  </fills>
  <borders count="15">
    <border>
      <left/>
      <right/>
      <top/>
      <bottom/>
      <diagonal/>
    </border>
    <border>
      <left style="thick">
        <color rgb="00EEF2F8"/>
      </left>
      <right style="thick">
        <color rgb="00EEF2F8"/>
      </right>
      <top style="thick">
        <color rgb="00EEF2F8"/>
      </top>
      <bottom style="thick">
        <color rgb="00EEF2F8"/>
      </bottom>
    </border>
    <border>
      <left style="thin">
        <color rgb="00BFBFBF"/>
      </left>
      <right style="thin">
        <color rgb="00BFBFBF"/>
      </right>
      <top style="medium">
        <color rgb="001F3864"/>
      </top>
      <bottom style="medium">
        <color rgb="001F3864"/>
      </bottom>
    </border>
    <border>
      <top style="medium">
        <color rgb="001F3864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medium">
        <color rgb="001F3864"/>
      </top>
      <bottom/>
      <diagonal/>
    </border>
    <border>
      <left/>
      <right/>
      <top style="medium">
        <color rgb="001F3864"/>
      </top>
      <bottom style="thin">
        <color rgb="00BFBFBF"/>
      </bottom>
      <diagonal/>
    </border>
    <border>
      <left style="thin"/>
      <right style="thin"/>
      <top style="thin"/>
      <bottom style="thin"/>
    </border>
    <border>
      <top style="medium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14" fillId="0" borderId="0" applyAlignment="1" pivotButton="0" quotePrefix="0" xfId="0">
      <alignment vertical="top" wrapText="1"/>
    </xf>
    <xf numFmtId="0" fontId="9" fillId="2" borderId="4" applyAlignment="1" pivotButton="0" quotePrefix="0" xfId="0">
      <alignment vertical="center" indent="1"/>
    </xf>
    <xf numFmtId="0" fontId="12" fillId="0" borderId="4" applyAlignment="1" pivotButton="0" quotePrefix="0" xfId="0">
      <alignment vertical="center" wrapText="1" indent="1"/>
    </xf>
    <xf numFmtId="0" fontId="11" fillId="0" borderId="4" applyAlignment="1" pivotButton="0" quotePrefix="0" xfId="0">
      <alignment vertical="center" wrapText="1" indent="1"/>
    </xf>
    <xf numFmtId="0" fontId="12" fillId="12" borderId="4" applyAlignment="1" pivotButton="0" quotePrefix="0" xfId="0">
      <alignment vertical="center" wrapText="1" indent="1"/>
    </xf>
    <xf numFmtId="0" fontId="11" fillId="12" borderId="4" applyAlignment="1" pivotButton="0" quotePrefix="0" xfId="0">
      <alignment vertical="center" wrapText="1" indent="1"/>
    </xf>
    <xf numFmtId="0" fontId="10" fillId="10" borderId="0" applyAlignment="1" pivotButton="0" quotePrefix="0" xfId="0">
      <alignment vertical="center" indent="1"/>
    </xf>
    <xf numFmtId="0" fontId="11" fillId="0" borderId="0" applyAlignment="1" pivotButton="0" quotePrefix="0" xfId="0">
      <alignment vertical="center" wrapText="1" indent="1"/>
    </xf>
    <xf numFmtId="0" fontId="14" fillId="0" borderId="0" pivotButton="0" quotePrefix="0" xfId="0"/>
    <xf numFmtId="0" fontId="9" fillId="2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left" vertical="center" indent="1"/>
    </xf>
    <xf numFmtId="0" fontId="13" fillId="0" borderId="4" applyAlignment="1" pivotButton="0" quotePrefix="0" xfId="0">
      <alignment horizontal="center" vertical="center"/>
    </xf>
    <xf numFmtId="9" fontId="13" fillId="0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indent="1"/>
    </xf>
    <xf numFmtId="0" fontId="13" fillId="12" borderId="4" applyAlignment="1" pivotButton="0" quotePrefix="0" xfId="0">
      <alignment horizontal="center" vertical="center"/>
    </xf>
    <xf numFmtId="9" fontId="13" fillId="1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 indent="1"/>
    </xf>
    <xf numFmtId="0" fontId="15" fillId="10" borderId="4" applyAlignment="1" pivotButton="0" quotePrefix="0" xfId="0">
      <alignment horizontal="center" vertical="center"/>
    </xf>
    <xf numFmtId="9" fontId="15" fillId="10" borderId="4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 wrapText="1" indent="1"/>
    </xf>
    <xf numFmtId="0" fontId="3" fillId="4" borderId="0" applyAlignment="1" pivotButton="0" quotePrefix="0" xfId="0">
      <alignment horizontal="right" vertical="center" indent="1"/>
    </xf>
    <xf numFmtId="0" fontId="4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center" vertical="center" wrapText="1"/>
    </xf>
    <xf numFmtId="0" fontId="10" fillId="10" borderId="3" applyAlignment="1" pivotButton="0" quotePrefix="0" xfId="0">
      <alignment vertical="center" indent="1"/>
    </xf>
    <xf numFmtId="0" fontId="0" fillId="0" borderId="3" pivotButton="0" quotePrefix="0" xfId="0"/>
    <xf numFmtId="0" fontId="12" fillId="11" borderId="4" applyAlignment="1" pivotButton="0" quotePrefix="0" xfId="0">
      <alignment horizontal="center" vertical="center" wrapText="1"/>
    </xf>
    <xf numFmtId="0" fontId="12" fillId="11" borderId="4" applyAlignment="1" pivotButton="0" quotePrefix="0" xfId="0">
      <alignment vertical="center" wrapText="1"/>
    </xf>
    <xf numFmtId="0" fontId="13" fillId="11" borderId="4" applyAlignment="1" pivotButton="0" quotePrefix="0" xfId="0">
      <alignment vertical="center" wrapText="1"/>
    </xf>
    <xf numFmtId="0" fontId="11" fillId="11" borderId="4" applyAlignment="1" pivotButton="0" quotePrefix="0" xfId="0">
      <alignment vertical="center" wrapText="1"/>
    </xf>
    <xf numFmtId="0" fontId="11" fillId="11" borderId="4" applyAlignment="1" pivotButton="0" quotePrefix="0" xfId="0">
      <alignment horizontal="center" vertical="center" wrapText="1"/>
    </xf>
    <xf numFmtId="0" fontId="12" fillId="12" borderId="4" applyAlignment="1" pivotButton="0" quotePrefix="0" xfId="0">
      <alignment horizontal="center" vertical="center" wrapText="1"/>
    </xf>
    <xf numFmtId="0" fontId="12" fillId="12" borderId="4" applyAlignment="1" pivotButton="0" quotePrefix="0" xfId="0">
      <alignment vertical="center" wrapText="1"/>
    </xf>
    <xf numFmtId="0" fontId="13" fillId="12" borderId="4" applyAlignment="1" pivotButton="0" quotePrefix="0" xfId="0">
      <alignment vertical="center" wrapText="1"/>
    </xf>
    <xf numFmtId="0" fontId="11" fillId="12" borderId="4" applyAlignment="1" pivotButton="0" quotePrefix="0" xfId="0">
      <alignment vertical="center" wrapText="1"/>
    </xf>
    <xf numFmtId="0" fontId="11" fillId="12" borderId="4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" fillId="13" borderId="0" applyAlignment="1" pivotButton="0" quotePrefix="0" xfId="0">
      <alignment vertical="center"/>
    </xf>
    <xf numFmtId="0" fontId="17" fillId="0" borderId="0" pivotButton="0" quotePrefix="0" xfId="0"/>
    <xf numFmtId="0" fontId="9" fillId="13" borderId="10" applyAlignment="1" pivotButton="0" quotePrefix="0" xfId="0">
      <alignment horizontal="center" vertical="center" wrapText="1"/>
    </xf>
    <xf numFmtId="0" fontId="12" fillId="0" borderId="10" applyAlignment="1" pivotButton="0" quotePrefix="0" xfId="0">
      <alignment horizontal="left" vertical="center"/>
    </xf>
    <xf numFmtId="0" fontId="13" fillId="0" borderId="10" applyAlignment="1" pivotButton="0" quotePrefix="0" xfId="0">
      <alignment horizontal="center" vertical="center"/>
    </xf>
    <xf numFmtId="9" fontId="13" fillId="0" borderId="10" applyAlignment="1" pivotButton="0" quotePrefix="0" xfId="0">
      <alignment horizontal="center" vertical="center"/>
    </xf>
    <xf numFmtId="0" fontId="12" fillId="21" borderId="10" applyAlignment="1" pivotButton="0" quotePrefix="0" xfId="0">
      <alignment horizontal="left" vertical="center"/>
    </xf>
    <xf numFmtId="0" fontId="15" fillId="21" borderId="10" applyAlignment="1" pivotButton="0" quotePrefix="0" xfId="0">
      <alignment horizontal="center" vertical="center"/>
    </xf>
    <xf numFmtId="9" fontId="15" fillId="21" borderId="10" applyAlignment="1" pivotButton="0" quotePrefix="0" xfId="0">
      <alignment horizontal="center" vertical="center"/>
    </xf>
    <xf numFmtId="0" fontId="10" fillId="0" borderId="0" pivotButton="0" quotePrefix="0" xfId="0"/>
    <xf numFmtId="0" fontId="9" fillId="13" borderId="10" applyAlignment="1" pivotButton="0" quotePrefix="0" xfId="0">
      <alignment horizontal="center" vertical="center"/>
    </xf>
    <xf numFmtId="0" fontId="18" fillId="0" borderId="10" applyAlignment="1" pivotButton="0" quotePrefix="0" xfId="0">
      <alignment horizontal="left" vertical="center"/>
    </xf>
    <xf numFmtId="0" fontId="11" fillId="0" borderId="10" applyAlignment="1" pivotButton="0" quotePrefix="0" xfId="0">
      <alignment horizontal="center" vertical="center"/>
    </xf>
    <xf numFmtId="9" fontId="11" fillId="0" borderId="10" applyAlignment="1" pivotButton="0" quotePrefix="0" xfId="0">
      <alignment horizontal="center" vertical="center"/>
    </xf>
    <xf numFmtId="0" fontId="16" fillId="14" borderId="0" applyAlignment="1" pivotButton="0" quotePrefix="0" xfId="0">
      <alignment vertical="center" wrapText="1"/>
    </xf>
    <xf numFmtId="0" fontId="3" fillId="15" borderId="0" applyAlignment="1" pivotButton="0" quotePrefix="0" xfId="0">
      <alignment horizontal="right" wrapText="1"/>
    </xf>
    <xf numFmtId="0" fontId="4" fillId="16" borderId="0" applyAlignment="1" pivotButton="0" quotePrefix="0" xfId="0">
      <alignment horizontal="center" wrapText="1"/>
    </xf>
    <xf numFmtId="0" fontId="5" fillId="17" borderId="0" applyAlignment="1" pivotButton="0" quotePrefix="0" xfId="0">
      <alignment horizontal="center" wrapText="1"/>
    </xf>
    <xf numFmtId="0" fontId="6" fillId="18" borderId="0" applyAlignment="1" pivotButton="0" quotePrefix="0" xfId="0">
      <alignment horizontal="center" wrapText="1"/>
    </xf>
    <xf numFmtId="0" fontId="3" fillId="15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wrapText="1"/>
    </xf>
    <xf numFmtId="0" fontId="8" fillId="20" borderId="0" applyAlignment="1" pivotButton="0" quotePrefix="0" xfId="0">
      <alignment horizontal="center" wrapText="1"/>
    </xf>
    <xf numFmtId="0" fontId="10" fillId="21" borderId="11" applyAlignment="1" pivotButton="0" quotePrefix="0" xfId="0">
      <alignment vertical="center" wrapText="1"/>
    </xf>
    <xf numFmtId="0" fontId="0" fillId="0" borderId="11" pivotButton="0" quotePrefix="0" xfId="0"/>
    <xf numFmtId="0" fontId="12" fillId="22" borderId="10" applyAlignment="1" pivotButton="0" quotePrefix="0" xfId="0">
      <alignment horizontal="center" vertical="center" wrapText="1"/>
    </xf>
    <xf numFmtId="0" fontId="12" fillId="22" borderId="10" applyAlignment="1" pivotButton="0" quotePrefix="0" xfId="0">
      <alignment vertical="center" wrapText="1"/>
    </xf>
    <xf numFmtId="0" fontId="11" fillId="22" borderId="10" applyAlignment="1" pivotButton="0" quotePrefix="0" xfId="0">
      <alignment vertical="center" wrapText="1"/>
    </xf>
    <xf numFmtId="0" fontId="11" fillId="22" borderId="10" applyAlignment="1" pivotButton="0" quotePrefix="0" xfId="0">
      <alignment horizontal="center" vertical="center" wrapText="1"/>
    </xf>
    <xf numFmtId="0" fontId="12" fillId="23" borderId="10" applyAlignment="1" pivotButton="0" quotePrefix="0" xfId="0">
      <alignment horizontal="center" vertical="center" wrapText="1"/>
    </xf>
    <xf numFmtId="0" fontId="12" fillId="23" borderId="10" applyAlignment="1" pivotButton="0" quotePrefix="0" xfId="0">
      <alignment vertical="center" wrapText="1"/>
    </xf>
    <xf numFmtId="0" fontId="11" fillId="23" borderId="10" applyAlignment="1" pivotButton="0" quotePrefix="0" xfId="0">
      <alignment vertical="center" wrapText="1"/>
    </xf>
    <xf numFmtId="0" fontId="11" fillId="23" borderId="10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1" fillId="13" borderId="0" pivotButton="0" quotePrefix="0" xfId="0"/>
    <xf numFmtId="0" fontId="16" fillId="14" borderId="0" pivotButton="0" quotePrefix="0" xfId="0"/>
    <xf numFmtId="0" fontId="18" fillId="0" borderId="10" applyAlignment="1" pivotButton="0" quotePrefix="0" xfId="0">
      <alignment horizontal="center" vertical="center" wrapText="1"/>
    </xf>
    <xf numFmtId="0" fontId="11" fillId="0" borderId="10" applyAlignment="1" pivotButton="0" quotePrefix="0" xfId="0">
      <alignment vertical="center" wrapText="1"/>
    </xf>
  </cellXfs>
  <cellStyles count="1">
    <cellStyle name="Normal" xfId="0" builtinId="0" hidden="0"/>
  </cellStyles>
  <dxfs count="10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833C0B"/>
      </font>
      <fill>
        <patternFill patternType="solid">
          <fgColor rgb="00F8CBAD"/>
          <bgColor rgb="00F8CBAD"/>
        </patternFill>
      </fill>
    </dxf>
    <dxf>
      <font>
        <name val="Arial"/>
        <b val="1"/>
        <color rgb="007F6000"/>
      </font>
      <fill>
        <patternFill patternType="solid">
          <fgColor rgb="00FFE699"/>
          <bgColor rgb="00FFE699"/>
        </patternFill>
      </fill>
    </dxf>
    <dxf>
      <font>
        <name val="Arial"/>
        <b val="1"/>
        <color rgb="00375623"/>
      </font>
      <fill>
        <patternFill patternType="solid">
          <fgColor rgb="00C6E0B4"/>
          <bgColor rgb="00C6E0B4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showGridLines="0" tabSelected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 ht="32" customHeight="1">
      <c r="A1" s="1" t="inlineStr">
        <is>
          <t>How to Write an Attribute List</t>
        </is>
      </c>
    </row>
    <row r="2" ht="48" customHeight="1">
      <c r="A2" s="2" t="inlineStr">
        <is>
          <t>An Attribute List (AL) lists every behavior of the module that verification must prove. It is written from the spec, BEFORE the Verification Plan and the environment: the VP (stimulus scenarios, checkers, coverage) is built from the AL.</t>
        </is>
      </c>
    </row>
    <row r="4">
      <c r="A4" s="3" t="inlineStr">
        <is>
          <t>Column</t>
        </is>
      </c>
      <c r="B4" s="3" t="inlineStr">
        <is>
          <t>Meaning</t>
        </is>
      </c>
    </row>
    <row r="5" ht="30" customHeight="1">
      <c r="A5" s="4" t="inlineStr">
        <is>
          <t>ID</t>
        </is>
      </c>
      <c r="B5" s="5" t="inlineStr">
        <is>
          <t>Unique attribute ID (group prefix + number). Referenced from the VP and from test logs.</t>
        </is>
      </c>
    </row>
    <row r="6" ht="30" customHeight="1">
      <c r="A6" s="6" t="inlineStr">
        <is>
          <t>Group</t>
        </is>
      </c>
      <c r="B6" s="7" t="inlineStr">
        <is>
          <t>Logical grouping of attributes (by feature, lane, attribute type, …).</t>
        </is>
      </c>
    </row>
    <row r="7" ht="30" customHeight="1">
      <c r="A7" s="4" t="inlineStr">
        <is>
          <t>Attribute (The module shall … when …)</t>
        </is>
      </c>
      <c r="B7" s="5" t="inlineStr">
        <is>
          <t>What the module does, written as an observable behavior triggered by a stimulus: "The module shall … when …".</t>
        </is>
      </c>
    </row>
    <row r="8" ht="30" customHeight="1">
      <c r="A8" s="6" t="inlineStr">
        <is>
          <t>Notes / Assumptions</t>
        </is>
      </c>
      <c r="B8" s="7" t="inlineStr">
        <is>
          <t>Constraints, parameters, and assumptions the attribute depends on.</t>
        </is>
      </c>
    </row>
    <row r="9" ht="30" customHeight="1">
      <c r="A9" s="4" t="inlineStr">
        <is>
          <t>Test Case (standard &amp; corner cases)</t>
        </is>
      </c>
      <c r="B9" s="5" t="inlineStr">
        <is>
          <t>The concrete scenarios that must be exercised — standard cases and corner cases. One row per case.</t>
        </is>
      </c>
    </row>
    <row r="10" ht="30" customHeight="1">
      <c r="A10" s="6" t="inlineStr">
        <is>
          <t>Priority</t>
        </is>
      </c>
      <c r="B10" s="7" t="inlineStr">
        <is>
          <t>High / Medium / Low — trade-off between importance and development time.</t>
        </is>
      </c>
    </row>
    <row r="11" ht="30" customHeight="1">
      <c r="A11" s="4" t="inlineStr">
        <is>
          <t>Implemented (V / X)</t>
        </is>
      </c>
      <c r="B11" s="5" t="inlineStr">
        <is>
          <t>V = the scenario is implemented in the verification environment (stimulus + checker). X = not yet.</t>
        </is>
      </c>
    </row>
    <row r="12" ht="30" customHeight="1">
      <c r="A12" s="6" t="inlineStr">
        <is>
          <t>Checked (V / X)</t>
        </is>
      </c>
      <c r="B12" s="7" t="inlineStr">
        <is>
          <t>V = the scenario was actually hit and measured by functional coverage. X = not yet.
(Both status columns stay X when the AL is first written — they are filled in later, during verification.)</t>
        </is>
      </c>
    </row>
    <row r="14" ht="22" customHeight="1">
      <c r="A14" s="8" t="inlineStr">
        <is>
          <t>Writing good attributes</t>
        </is>
      </c>
    </row>
    <row r="15" ht="30" customHeight="1">
      <c r="A15" s="9" t="inlineStr">
        <is>
          <t>•  System assumptions: conditions the module cannot work without (e.g. valid interfaces, legal parameter ranges). They are not stimulated, but the environment must respect them.</t>
        </is>
      </c>
    </row>
    <row r="16" ht="18" customHeight="1">
      <c r="A16" s="9" t="inlineStr">
        <is>
          <t>•  Attributes describe what the module DOES in response to a stimulus — phrase them as "The module shall … when …".</t>
        </is>
      </c>
    </row>
    <row r="17" ht="30" customHeight="1">
      <c r="A17" s="9" t="inlineStr">
        <is>
          <t>•  Group attributes by common sense: by lane, by feature, by attribute type, etc. Give each group an ID prefix (e.g. LCK, SIZ, PAR).</t>
        </is>
      </c>
    </row>
    <row r="18" ht="30" customHeight="1">
      <c r="A18" s="9" t="inlineStr">
        <is>
          <t>•  Split every attribute into concrete test cases, one per row: the standard case plus every corner case (min, min+1, max-1, max, out-of-range, error injection).</t>
        </is>
      </c>
    </row>
    <row r="19" ht="30" customHeight="1">
      <c r="A19" s="9" t="inlineStr">
        <is>
          <t>•  Priority reflects the trade-off between importance and development time: High = must have for sign-off, Medium = should have, Low = nice to have.</t>
        </is>
      </c>
    </row>
    <row r="20" ht="30" customHeight="1">
      <c r="A20" s="9" t="inlineStr">
        <is>
          <t>•  Implemented (V/X): the scenario is generated and checked in the environment.  Checked (V/X): functional coverage shows the scenario was actually hit.</t>
        </is>
      </c>
    </row>
    <row r="21" ht="30" customHeight="1">
      <c r="A21" s="9" t="inlineStr">
        <is>
          <t>•  Keep the AL independent of the verification environment: describe behavior and scenarios in spec terms only (no coverpoints, sequences or test knobs) — those belong in the VP.</t>
        </is>
      </c>
    </row>
    <row r="22" ht="18" customHeight="1">
      <c r="A22" s="9" t="inlineStr">
        <is>
          <t>•  Write each test case so it can later become one VP item: a clear stimulus and the expected module response.</t>
        </is>
      </c>
    </row>
  </sheetData>
  <mergeCells count="11">
    <mergeCell ref="A20:B20"/>
    <mergeCell ref="A21:B21"/>
    <mergeCell ref="A16:B16"/>
    <mergeCell ref="A2:B2"/>
    <mergeCell ref="A15:B15"/>
    <mergeCell ref="A19:B19"/>
    <mergeCell ref="A14:B14"/>
    <mergeCell ref="A1:B1"/>
    <mergeCell ref="A17:B17"/>
    <mergeCell ref="A18:B18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6" customWidth="1" min="5" max="5"/>
    <col width="14" customWidth="1" min="6" max="6"/>
  </cols>
  <sheetData>
    <row r="1" ht="32" customHeight="1">
      <c r="A1" s="44" t="inlineStr">
        <is>
          <t>Verification Progress Summary — CTRL Stage</t>
        </is>
      </c>
    </row>
    <row r="2">
      <c r="A2" s="45" t="inlineStr">
        <is>
          <t>All numbers are live formulas over the 'AL' sheet — they update when you change V / X.</t>
        </is>
      </c>
    </row>
    <row r="4">
      <c r="A4" s="46" t="inlineStr">
        <is>
          <t>Group</t>
        </is>
      </c>
      <c r="B4" s="46" t="inlineStr">
        <is>
          <t>Test Cases</t>
        </is>
      </c>
      <c r="C4" s="46" t="inlineStr">
        <is>
          <t>Implemented</t>
        </is>
      </c>
      <c r="D4" s="46" t="inlineStr">
        <is>
          <t>% Impl.</t>
        </is>
      </c>
      <c r="E4" s="46" t="inlineStr">
        <is>
          <t>Checked</t>
        </is>
      </c>
      <c r="F4" s="46" t="inlineStr">
        <is>
          <t>% Checked</t>
        </is>
      </c>
    </row>
    <row r="5" ht="20" customHeight="1">
      <c r="A5" s="47" t="inlineStr">
        <is>
          <t>System assumptions</t>
        </is>
      </c>
      <c r="B5" s="48">
        <f>COUNTIFS(AL!$I$6:$I$335,"SYS",AL!$E$6:$E$335,"&lt;&gt;")</f>
        <v/>
      </c>
      <c r="C5" s="48">
        <f>COUNTIFS(AL!$I$6:$I$335,"SYS",AL!$G$6:$G$335,"V")</f>
        <v/>
      </c>
      <c r="D5" s="49">
        <f>IF(B5=0,0,C5/B5)</f>
        <v/>
      </c>
      <c r="E5" s="48">
        <f>COUNTIFS(AL!$I$6:$I$335,"SYS",AL!$H$6:$H$335,"V")</f>
        <v/>
      </c>
      <c r="F5" s="49">
        <f>IF(B5=0,0,E5/B5)</f>
        <v/>
      </c>
    </row>
    <row r="6" ht="20" customHeight="1">
      <c r="A6" s="47" t="inlineStr">
        <is>
          <t>LR op: SET</t>
        </is>
      </c>
      <c r="B6" s="48">
        <f>COUNTIFS(AL!$I$6:$I$335,"SET",AL!$E$6:$E$335,"&lt;&gt;")</f>
        <v/>
      </c>
      <c r="C6" s="48">
        <f>COUNTIFS(AL!$I$6:$I$335,"SET",AL!$G$6:$G$335,"V")</f>
        <v/>
      </c>
      <c r="D6" s="49">
        <f>IF(B6=0,0,C6/B6)</f>
        <v/>
      </c>
      <c r="E6" s="48">
        <f>COUNTIFS(AL!$I$6:$I$335,"SET",AL!$H$6:$H$335,"V")</f>
        <v/>
      </c>
      <c r="F6" s="49">
        <f>IF(B6=0,0,E6/B6)</f>
        <v/>
      </c>
    </row>
    <row r="7" ht="20" customHeight="1">
      <c r="A7" s="47" t="inlineStr">
        <is>
          <t>LR op: ADD</t>
        </is>
      </c>
      <c r="B7" s="48">
        <f>COUNTIFS(AL!$I$6:$I$335,"ADD",AL!$E$6:$E$335,"&lt;&gt;")</f>
        <v/>
      </c>
      <c r="C7" s="48">
        <f>COUNTIFS(AL!$I$6:$I$335,"ADD",AL!$G$6:$G$335,"V")</f>
        <v/>
      </c>
      <c r="D7" s="49">
        <f>IF(B7=0,0,C7/B7)</f>
        <v/>
      </c>
      <c r="E7" s="48">
        <f>COUNTIFS(AL!$I$6:$I$335,"ADD",AL!$H$6:$H$335,"V")</f>
        <v/>
      </c>
      <c r="F7" s="49">
        <f>IF(B7=0,0,E7/B7)</f>
        <v/>
      </c>
    </row>
    <row r="8" ht="20" customHeight="1">
      <c r="A8" s="47" t="inlineStr">
        <is>
          <t>LR op: SUB</t>
        </is>
      </c>
      <c r="B8" s="48">
        <f>COUNTIFS(AL!$I$6:$I$335,"SUB",AL!$E$6:$E$335,"&lt;&gt;")</f>
        <v/>
      </c>
      <c r="C8" s="48">
        <f>COUNTIFS(AL!$I$6:$I$335,"SUB",AL!$G$6:$G$335,"V")</f>
        <v/>
      </c>
      <c r="D8" s="49">
        <f>IF(B8=0,0,C8/B8)</f>
        <v/>
      </c>
      <c r="E8" s="48">
        <f>COUNTIFS(AL!$I$6:$I$335,"SUB",AL!$H$6:$H$335,"V")</f>
        <v/>
      </c>
      <c r="F8" s="49">
        <f>IF(B8=0,0,E8/B8)</f>
        <v/>
      </c>
    </row>
    <row r="9" ht="20" customHeight="1">
      <c r="A9" s="47" t="inlineStr">
        <is>
          <t>LR op: INC.MODP2</t>
        </is>
      </c>
      <c r="B9" s="48">
        <f>COUNTIFS(AL!$I$6:$I$335,"MOD",AL!$E$6:$E$335,"&lt;&gt;")</f>
        <v/>
      </c>
      <c r="C9" s="48">
        <f>COUNTIFS(AL!$I$6:$I$335,"MOD",AL!$G$6:$G$335,"V")</f>
        <v/>
      </c>
      <c r="D9" s="49">
        <f>IF(B9=0,0,C9/B9)</f>
        <v/>
      </c>
      <c r="E9" s="48">
        <f>COUNTIFS(AL!$I$6:$I$335,"MOD",AL!$H$6:$H$335,"V")</f>
        <v/>
      </c>
      <c r="F9" s="49">
        <f>IF(B9=0,0,E9/B9)</f>
        <v/>
      </c>
    </row>
    <row r="10" ht="20" customHeight="1">
      <c r="A10" s="47" t="inlineStr">
        <is>
          <t>LR op: INC</t>
        </is>
      </c>
      <c r="B10" s="48">
        <f>COUNTIFS(AL!$I$6:$I$335,"INC",AL!$E$6:$E$335,"&lt;&gt;")</f>
        <v/>
      </c>
      <c r="C10" s="48">
        <f>COUNTIFS(AL!$I$6:$I$335,"INC",AL!$G$6:$G$335,"V")</f>
        <v/>
      </c>
      <c r="D10" s="49">
        <f>IF(B10=0,0,C10/B10)</f>
        <v/>
      </c>
      <c r="E10" s="48">
        <f>COUNTIFS(AL!$I$6:$I$335,"INC",AL!$H$6:$H$335,"V")</f>
        <v/>
      </c>
      <c r="F10" s="49">
        <f>IF(B10=0,0,E10/B10)</f>
        <v/>
      </c>
    </row>
    <row r="11" ht="20" customHeight="1">
      <c r="A11" s="47" t="inlineStr">
        <is>
          <t>LR op: DEC</t>
        </is>
      </c>
      <c r="B11" s="48">
        <f>COUNTIFS(AL!$I$6:$I$335,"DEC",AL!$E$6:$E$335,"&lt;&gt;")</f>
        <v/>
      </c>
      <c r="C11" s="48">
        <f>COUNTIFS(AL!$I$6:$I$335,"DEC",AL!$G$6:$G$335,"V")</f>
        <v/>
      </c>
      <c r="D11" s="49">
        <f>IF(B11=0,0,C11/B11)</f>
        <v/>
      </c>
      <c r="E11" s="48">
        <f>COUNTIFS(AL!$I$6:$I$335,"DEC",AL!$H$6:$H$335,"V")</f>
        <v/>
      </c>
      <c r="F11" s="49">
        <f>IF(B11=0,0,E11/B11)</f>
        <v/>
      </c>
    </row>
    <row r="12" ht="20" customHeight="1">
      <c r="A12" s="47" t="inlineStr">
        <is>
          <t>LR op: ADDB</t>
        </is>
      </c>
      <c r="B12" s="48">
        <f>COUNTIFS(AL!$I$6:$I$335,"ADB",AL!$E$6:$E$335,"&lt;&gt;")</f>
        <v/>
      </c>
      <c r="C12" s="48">
        <f>COUNTIFS(AL!$I$6:$I$335,"ADB",AL!$G$6:$G$335,"V")</f>
        <v/>
      </c>
      <c r="D12" s="49">
        <f>IF(B12=0,0,C12/B12)</f>
        <v/>
      </c>
      <c r="E12" s="48">
        <f>COUNTIFS(AL!$I$6:$I$335,"ADB",AL!$H$6:$H$335,"V")</f>
        <v/>
      </c>
      <c r="F12" s="49">
        <f>IF(B12=0,0,E12/B12)</f>
        <v/>
      </c>
    </row>
    <row r="13" ht="20" customHeight="1">
      <c r="A13" s="47" t="inlineStr">
        <is>
          <t>LR op: ADDBI</t>
        </is>
      </c>
      <c r="B13" s="48">
        <f>COUNTIFS(AL!$I$6:$I$335,"ADI",AL!$E$6:$E$335,"&lt;&gt;")</f>
        <v/>
      </c>
      <c r="C13" s="48">
        <f>COUNTIFS(AL!$I$6:$I$335,"ADI",AL!$G$6:$G$335,"V")</f>
        <v/>
      </c>
      <c r="D13" s="49">
        <f>IF(B13=0,0,C13/B13)</f>
        <v/>
      </c>
      <c r="E13" s="48">
        <f>COUNTIFS(AL!$I$6:$I$335,"ADI",AL!$H$6:$H$335,"V")</f>
        <v/>
      </c>
      <c r="F13" s="49">
        <f>IF(B13=0,0,E13/B13)</f>
        <v/>
      </c>
    </row>
    <row r="14" ht="20" customHeight="1">
      <c r="A14" s="47" t="inlineStr">
        <is>
          <t>LR lanes (x3)</t>
        </is>
      </c>
      <c r="B14" s="48">
        <f>COUNTIFS(AL!$I$6:$I$335,"LAN",AL!$E$6:$E$335,"&lt;&gt;")</f>
        <v/>
      </c>
      <c r="C14" s="48">
        <f>COUNTIFS(AL!$I$6:$I$335,"LAN",AL!$G$6:$G$335,"V")</f>
        <v/>
      </c>
      <c r="D14" s="49">
        <f>IF(B14=0,0,C14/B14)</f>
        <v/>
      </c>
      <c r="E14" s="48">
        <f>COUNTIFS(AL!$I$6:$I$335,"LAN",AL!$H$6:$H$335,"V")</f>
        <v/>
      </c>
      <c r="F14" s="49">
        <f>IF(B14=0,0,E14/B14)</f>
        <v/>
      </c>
    </row>
    <row r="15" ht="20" customHeight="1">
      <c r="A15" s="47" t="inlineStr">
        <is>
          <t>LR / CR register state</t>
        </is>
      </c>
      <c r="B15" s="48">
        <f>COUNTIFS(AL!$I$6:$I$335,"LRF",AL!$E$6:$E$335,"&lt;&gt;")</f>
        <v/>
      </c>
      <c r="C15" s="48">
        <f>COUNTIFS(AL!$I$6:$I$335,"LRF",AL!$G$6:$G$335,"V")</f>
        <v/>
      </c>
      <c r="D15" s="49">
        <f>IF(B15=0,0,C15/B15)</f>
        <v/>
      </c>
      <c r="E15" s="48">
        <f>COUNTIFS(AL!$I$6:$I$335,"LRF",AL!$H$6:$H$335,"V")</f>
        <v/>
      </c>
      <c r="F15" s="49">
        <f>IF(B15=0,0,E15/B15)</f>
        <v/>
      </c>
    </row>
    <row r="16" ht="20" customHeight="1">
      <c r="A16" s="47" t="inlineStr">
        <is>
          <t>LR hazards &amp; timing</t>
        </is>
      </c>
      <c r="B16" s="48">
        <f>COUNTIFS(AL!$I$6:$I$335,"TIM",AL!$E$6:$E$335,"&lt;&gt;")</f>
        <v/>
      </c>
      <c r="C16" s="48">
        <f>COUNTIFS(AL!$I$6:$I$335,"TIM",AL!$G$6:$G$335,"V")</f>
        <v/>
      </c>
      <c r="D16" s="49">
        <f>IF(B16=0,0,C16/B16)</f>
        <v/>
      </c>
      <c r="E16" s="48">
        <f>COUNTIFS(AL!$I$6:$I$335,"TIM",AL!$H$6:$H$335,"V")</f>
        <v/>
      </c>
      <c r="F16" s="49">
        <f>IF(B16=0,0,E16/B16)</f>
        <v/>
      </c>
    </row>
    <row r="17" ht="20" customHeight="1">
      <c r="A17" s="47" t="inlineStr">
        <is>
          <t>COND: BEQ</t>
        </is>
      </c>
      <c r="B17" s="48">
        <f>COUNTIFS(AL!$I$6:$I$335,"BEQ",AL!$E$6:$E$335,"&lt;&gt;")</f>
        <v/>
      </c>
      <c r="C17" s="48">
        <f>COUNTIFS(AL!$I$6:$I$335,"BEQ",AL!$G$6:$G$335,"V")</f>
        <v/>
      </c>
      <c r="D17" s="49">
        <f>IF(B17=0,0,C17/B17)</f>
        <v/>
      </c>
      <c r="E17" s="48">
        <f>COUNTIFS(AL!$I$6:$I$335,"BEQ",AL!$H$6:$H$335,"V")</f>
        <v/>
      </c>
      <c r="F17" s="49">
        <f>IF(B17=0,0,E17/B17)</f>
        <v/>
      </c>
    </row>
    <row r="18" ht="20" customHeight="1">
      <c r="A18" s="47" t="inlineStr">
        <is>
          <t>COND: BNE</t>
        </is>
      </c>
      <c r="B18" s="48">
        <f>COUNTIFS(AL!$I$6:$I$335,"BNE",AL!$E$6:$E$335,"&lt;&gt;")</f>
        <v/>
      </c>
      <c r="C18" s="48">
        <f>COUNTIFS(AL!$I$6:$I$335,"BNE",AL!$G$6:$G$335,"V")</f>
        <v/>
      </c>
      <c r="D18" s="49">
        <f>IF(B18=0,0,C18/B18)</f>
        <v/>
      </c>
      <c r="E18" s="48">
        <f>COUNTIFS(AL!$I$6:$I$335,"BNE",AL!$H$6:$H$335,"V")</f>
        <v/>
      </c>
      <c r="F18" s="49">
        <f>IF(B18=0,0,E18/B18)</f>
        <v/>
      </c>
    </row>
    <row r="19" ht="20" customHeight="1">
      <c r="A19" s="47" t="inlineStr">
        <is>
          <t>COND: BLT.S</t>
        </is>
      </c>
      <c r="B19" s="48">
        <f>COUNTIFS(AL!$I$6:$I$335,"BLT",AL!$E$6:$E$335,"&lt;&gt;")</f>
        <v/>
      </c>
      <c r="C19" s="48">
        <f>COUNTIFS(AL!$I$6:$I$335,"BLT",AL!$G$6:$G$335,"V")</f>
        <v/>
      </c>
      <c r="D19" s="49">
        <f>IF(B19=0,0,C19/B19)</f>
        <v/>
      </c>
      <c r="E19" s="48">
        <f>COUNTIFS(AL!$I$6:$I$335,"BLT",AL!$H$6:$H$335,"V")</f>
        <v/>
      </c>
      <c r="F19" s="49">
        <f>IF(B19=0,0,E19/B19)</f>
        <v/>
      </c>
    </row>
    <row r="20" ht="20" customHeight="1">
      <c r="A20" s="47" t="inlineStr">
        <is>
          <t>COND: BGE.S</t>
        </is>
      </c>
      <c r="B20" s="48">
        <f>COUNTIFS(AL!$I$6:$I$335,"BGE",AL!$E$6:$E$335,"&lt;&gt;")</f>
        <v/>
      </c>
      <c r="C20" s="48">
        <f>COUNTIFS(AL!$I$6:$I$335,"BGE",AL!$G$6:$G$335,"V")</f>
        <v/>
      </c>
      <c r="D20" s="49">
        <f>IF(B20=0,0,C20/B20)</f>
        <v/>
      </c>
      <c r="E20" s="48">
        <f>COUNTIFS(AL!$I$6:$I$335,"BGE",AL!$H$6:$H$335,"V")</f>
        <v/>
      </c>
      <c r="F20" s="49">
        <f>IF(B20=0,0,E20/B20)</f>
        <v/>
      </c>
    </row>
    <row r="21" ht="20" customHeight="1">
      <c r="A21" s="47" t="inlineStr">
        <is>
          <t>COND: BR</t>
        </is>
      </c>
      <c r="B21" s="48">
        <f>COUNTIFS(AL!$I$6:$I$335,"BRR",AL!$E$6:$E$335,"&lt;&gt;")</f>
        <v/>
      </c>
      <c r="C21" s="48">
        <f>COUNTIFS(AL!$I$6:$I$335,"BRR",AL!$G$6:$G$335,"V")</f>
        <v/>
      </c>
      <c r="D21" s="49">
        <f>IF(B21=0,0,C21/B21)</f>
        <v/>
      </c>
      <c r="E21" s="48">
        <f>COUNTIFS(AL!$I$6:$I$335,"BRR",AL!$H$6:$H$335,"V")</f>
        <v/>
      </c>
      <c r="F21" s="49">
        <f>IF(B21=0,0,E21/B21)</f>
        <v/>
      </c>
    </row>
    <row r="22" ht="20" customHeight="1">
      <c r="A22" s="47" t="inlineStr">
        <is>
          <t>COND: HALT</t>
        </is>
      </c>
      <c r="B22" s="48">
        <f>COUNTIFS(AL!$I$6:$I$335,"HLT",AL!$E$6:$E$335,"&lt;&gt;")</f>
        <v/>
      </c>
      <c r="C22" s="48">
        <f>COUNTIFS(AL!$I$6:$I$335,"HLT",AL!$G$6:$G$335,"V")</f>
        <v/>
      </c>
      <c r="D22" s="49">
        <f>IF(B22=0,0,C22/B22)</f>
        <v/>
      </c>
      <c r="E22" s="48">
        <f>COUNTIFS(AL!$I$6:$I$335,"HLT",AL!$H$6:$H$335,"V")</f>
        <v/>
      </c>
      <c r="F22" s="49">
        <f>IF(B22=0,0,E22/B22)</f>
        <v/>
      </c>
    </row>
    <row r="23" ht="20" customHeight="1">
      <c r="A23" s="47" t="inlineStr">
        <is>
          <t>Fetch / PC</t>
        </is>
      </c>
      <c r="B23" s="48">
        <f>COUNTIFS(AL!$I$6:$I$335,"FET",AL!$E$6:$E$335,"&lt;&gt;")</f>
        <v/>
      </c>
      <c r="C23" s="48">
        <f>COUNTIFS(AL!$I$6:$I$335,"FET",AL!$G$6:$G$335,"V")</f>
        <v/>
      </c>
      <c r="D23" s="49">
        <f>IF(B23=0,0,C23/B23)</f>
        <v/>
      </c>
      <c r="E23" s="48">
        <f>COUNTIFS(AL!$I$6:$I$335,"FET",AL!$H$6:$H$335,"V")</f>
        <v/>
      </c>
      <c r="F23" s="49">
        <f>IF(B23=0,0,E23/B23)</f>
        <v/>
      </c>
    </row>
    <row r="24" ht="20" customHeight="1">
      <c r="A24" s="47" t="inlineStr">
        <is>
          <t>Dispatch buses</t>
        </is>
      </c>
      <c r="B24" s="48">
        <f>COUNTIFS(AL!$I$6:$I$335,"FWD",AL!$E$6:$E$335,"&lt;&gt;")</f>
        <v/>
      </c>
      <c r="C24" s="48">
        <f>COUNTIFS(AL!$I$6:$I$335,"FWD",AL!$G$6:$G$335,"V")</f>
        <v/>
      </c>
      <c r="D24" s="49">
        <f>IF(B24=0,0,C24/B24)</f>
        <v/>
      </c>
      <c r="E24" s="48">
        <f>COUNTIFS(AL!$I$6:$I$335,"FWD",AL!$H$6:$H$335,"V")</f>
        <v/>
      </c>
      <c r="F24" s="49">
        <f>IF(B24=0,0,E24/B24)</f>
        <v/>
      </c>
    </row>
    <row r="25" ht="20" customHeight="1">
      <c r="A25" s="47" t="inlineStr">
        <is>
          <t>XMEM load address</t>
        </is>
      </c>
      <c r="B25" s="48">
        <f>COUNTIFS(AL!$I$6:$I$335,"XLD",AL!$E$6:$E$335,"&lt;&gt;")</f>
        <v/>
      </c>
      <c r="C25" s="48">
        <f>COUNTIFS(AL!$I$6:$I$335,"XLD",AL!$G$6:$G$335,"V")</f>
        <v/>
      </c>
      <c r="D25" s="49">
        <f>IF(B25=0,0,C25/B25)</f>
        <v/>
      </c>
      <c r="E25" s="48">
        <f>COUNTIFS(AL!$I$6:$I$335,"XLD",AL!$H$6:$H$335,"V")</f>
        <v/>
      </c>
      <c r="F25" s="49">
        <f>IF(B25=0,0,E25/B25)</f>
        <v/>
      </c>
    </row>
    <row r="26" ht="20" customHeight="1">
      <c r="A26" s="47" t="inlineStr">
        <is>
          <t>Illegal / undefined (spec TBD)</t>
        </is>
      </c>
      <c r="B26" s="48">
        <f>COUNTIFS(AL!$I$6:$I$335,"ILL",AL!$E$6:$E$335,"&lt;&gt;")</f>
        <v/>
      </c>
      <c r="C26" s="48">
        <f>COUNTIFS(AL!$I$6:$I$335,"ILL",AL!$G$6:$G$335,"V")</f>
        <v/>
      </c>
      <c r="D26" s="49">
        <f>IF(B26=0,0,C26/B26)</f>
        <v/>
      </c>
      <c r="E26" s="48">
        <f>COUNTIFS(AL!$I$6:$I$335,"ILL",AL!$H$6:$H$335,"V")</f>
        <v/>
      </c>
      <c r="F26" s="49">
        <f>IF(B26=0,0,E26/B26)</f>
        <v/>
      </c>
    </row>
    <row r="27" ht="20" customHeight="1">
      <c r="A27" s="47" t="inlineStr">
        <is>
          <t>Memory wait (spec TBD)</t>
        </is>
      </c>
      <c r="B27" s="48">
        <f>COUNTIFS(AL!$I$6:$I$335,"MEM",AL!$E$6:$E$335,"&lt;&gt;")</f>
        <v/>
      </c>
      <c r="C27" s="48">
        <f>COUNTIFS(AL!$I$6:$I$335,"MEM",AL!$G$6:$G$335,"V")</f>
        <v/>
      </c>
      <c r="D27" s="49">
        <f>IF(B27=0,0,C27/B27)</f>
        <v/>
      </c>
      <c r="E27" s="48">
        <f>COUNTIFS(AL!$I$6:$I$335,"MEM",AL!$H$6:$H$335,"V")</f>
        <v/>
      </c>
      <c r="F27" s="49">
        <f>IF(B27=0,0,E27/B27)</f>
        <v/>
      </c>
    </row>
    <row r="28" ht="20" customHeight="1">
      <c r="A28" s="50" t="inlineStr">
        <is>
          <t>TOTAL</t>
        </is>
      </c>
      <c r="B28" s="51">
        <f>SUM(B5:B27)</f>
        <v/>
      </c>
      <c r="C28" s="51">
        <f>SUM(C5:C27)</f>
        <v/>
      </c>
      <c r="D28" s="52">
        <f>IF(B28=0,0,C28/B28)</f>
        <v/>
      </c>
      <c r="E28" s="51">
        <f>SUM(E5:E27)</f>
        <v/>
      </c>
      <c r="F28" s="52">
        <f>IF(B28=0,0,E28/B28)</f>
        <v/>
      </c>
    </row>
    <row r="30">
      <c r="A30" s="53" t="inlineStr">
        <is>
          <t>By priority</t>
        </is>
      </c>
    </row>
    <row r="31">
      <c r="A31" s="54" t="inlineStr">
        <is>
          <t>Priority</t>
        </is>
      </c>
      <c r="B31" s="54" t="inlineStr">
        <is>
          <t>Test Cases</t>
        </is>
      </c>
      <c r="C31" s="54" t="inlineStr">
        <is>
          <t>Implemented</t>
        </is>
      </c>
      <c r="D31" s="54" t="inlineStr">
        <is>
          <t>% Impl.</t>
        </is>
      </c>
      <c r="E31" s="54" t="inlineStr">
        <is>
          <t>Checked</t>
        </is>
      </c>
      <c r="F31" s="54" t="inlineStr">
        <is>
          <t>% Checked</t>
        </is>
      </c>
    </row>
    <row r="32">
      <c r="A32" s="55" t="inlineStr">
        <is>
          <t>High</t>
        </is>
      </c>
      <c r="B32" s="56">
        <f>COUNTIFS(AL!$F$6:$F$335,"High")</f>
        <v/>
      </c>
      <c r="C32" s="56">
        <f>COUNTIFS(AL!$F$6:$F$335,"High",AL!$G$6:$G$335,"V")</f>
        <v/>
      </c>
      <c r="D32" s="57">
        <f>IF(B32=0,0,C32/B32)</f>
        <v/>
      </c>
      <c r="E32" s="56">
        <f>COUNTIFS(AL!$F$6:$F$335,"High",AL!$H$6:$H$335,"V")</f>
        <v/>
      </c>
      <c r="F32" s="57">
        <f>IF(B32=0,0,E32/B32)</f>
        <v/>
      </c>
    </row>
    <row r="33">
      <c r="A33" s="55" t="inlineStr">
        <is>
          <t>Medium</t>
        </is>
      </c>
      <c r="B33" s="56">
        <f>COUNTIFS(AL!$F$6:$F$335,"Medium")</f>
        <v/>
      </c>
      <c r="C33" s="56">
        <f>COUNTIFS(AL!$F$6:$F$335,"Medium",AL!$G$6:$G$335,"V")</f>
        <v/>
      </c>
      <c r="D33" s="57">
        <f>IF(B33=0,0,C33/B33)</f>
        <v/>
      </c>
      <c r="E33" s="56">
        <f>COUNTIFS(AL!$F$6:$F$335,"Medium",AL!$H$6:$H$335,"V")</f>
        <v/>
      </c>
      <c r="F33" s="57">
        <f>IF(B33=0,0,E33/B33)</f>
        <v/>
      </c>
    </row>
    <row r="34">
      <c r="A34" s="55" t="inlineStr">
        <is>
          <t>Low</t>
        </is>
      </c>
      <c r="B34" s="56">
        <f>COUNTIFS(AL!$F$6:$F$335,"Low")</f>
        <v/>
      </c>
      <c r="C34" s="56">
        <f>COUNTIFS(AL!$F$6:$F$335,"Low",AL!$G$6:$G$335,"V")</f>
        <v/>
      </c>
      <c r="D34" s="57">
        <f>IF(B34=0,0,C34/B34)</f>
        <v/>
      </c>
      <c r="E34" s="56">
        <f>COUNTIFS(AL!$F$6:$F$335,"Low",AL!$H$6:$H$335,"V")</f>
        <v/>
      </c>
      <c r="F34" s="57">
        <f>IF(B34=0,0,E34/B34)</f>
        <v/>
      </c>
    </row>
  </sheetData>
  <mergeCells count="2">
    <mergeCell ref="A2:F2"/>
    <mergeCell ref="A1:F1"/>
  </mergeCells>
  <conditionalFormatting sqref="D5:D28">
    <cfRule type="dataBar" priority="1">
      <dataBar>
        <cfvo type="num" val="0"/>
        <cfvo type="num" val="1"/>
        <color rgb="005B9BD5"/>
      </dataBar>
    </cfRule>
  </conditionalFormatting>
  <conditionalFormatting sqref="F5:F28">
    <cfRule type="dataBar" priority="2">
      <dataBar>
        <cfvo type="num" val="0"/>
        <cfvo type="num" val="1"/>
        <color rgb="0070AD47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35"/>
  <sheetViews>
    <sheetView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40" customWidth="1" min="3" max="3"/>
    <col width="46" customWidth="1" min="4" max="4"/>
    <col width="60" customWidth="1" min="5" max="5"/>
    <col width="10" customWidth="1" min="6" max="6"/>
    <col width="14" customWidth="1" min="7" max="7"/>
    <col width="14" customWidth="1" min="8" max="8"/>
    <col hidden="1" width="13" customWidth="1" min="9" max="9"/>
  </cols>
  <sheetData>
    <row r="1" ht="32" customHeight="1">
      <c r="A1" s="44" t="inlineStr">
        <is>
          <t>Control (CTRL) Stage — Attribute List (AL): Commands</t>
        </is>
      </c>
    </row>
    <row r="2" ht="44" customHeight="1">
      <c r="A2" s="58" t="inlineStr">
        <is>
          <t>Written from stage-control spec (ipu-emulator, specs/stage-control) — scope of this revision: the COMMANDS (LR slot x3 lanes, COND slot, fetch/PC, load address, dispatch pass-through). APB/IMEM-CR config and memory-wait are out of scope / placeholder. Open spec issues are on the 'Spec Questions' sheet.</t>
        </is>
      </c>
    </row>
    <row r="3" ht="20" customHeight="1">
      <c r="E3" s="59" t="inlineStr">
        <is>
          <t>PRIORITY</t>
        </is>
      </c>
      <c r="F3" s="60" t="inlineStr">
        <is>
          <t>High</t>
        </is>
      </c>
      <c r="G3" s="61" t="inlineStr">
        <is>
          <t>Medium</t>
        </is>
      </c>
      <c r="H3" s="62" t="inlineStr">
        <is>
          <t>Low</t>
        </is>
      </c>
    </row>
    <row r="4" ht="20" customHeight="1">
      <c r="E4" s="59" t="inlineStr">
        <is>
          <t>STATUS   (Implemented / Checked)</t>
        </is>
      </c>
      <c r="F4" s="63" t="inlineStr"/>
      <c r="G4" s="64" t="inlineStr">
        <is>
          <t>V  •  Done</t>
        </is>
      </c>
      <c r="H4" s="65" t="inlineStr">
        <is>
          <t>X  •  Not done</t>
        </is>
      </c>
    </row>
    <row r="5" ht="34" customHeight="1">
      <c r="A5" s="46" t="inlineStr">
        <is>
          <t>ID</t>
        </is>
      </c>
      <c r="B5" s="46" t="inlineStr">
        <is>
          <t>Group</t>
        </is>
      </c>
      <c r="C5" s="46" t="inlineStr">
        <is>
          <t>Attribute
(The module shall … when …)</t>
        </is>
      </c>
      <c r="D5" s="46" t="inlineStr">
        <is>
          <t>Notes / Assumptions</t>
        </is>
      </c>
      <c r="E5" s="46" t="inlineStr">
        <is>
          <t>Test Case
(standard &amp; corner cases)</t>
        </is>
      </c>
      <c r="F5" s="46" t="inlineStr">
        <is>
          <t>Priority</t>
        </is>
      </c>
      <c r="G5" s="46" t="inlineStr">
        <is>
          <t>Implemented
(V / X)</t>
        </is>
      </c>
      <c r="H5" s="46" t="inlineStr">
        <is>
          <t>Checked
(V / X)</t>
        </is>
      </c>
    </row>
    <row r="6" ht="22" customHeight="1">
      <c r="A6" s="66" t="inlineStr">
        <is>
          <t>SYSTEM — Assumptions (the module cannot work correctly without these)</t>
        </is>
      </c>
      <c r="B6" s="67" t="n"/>
      <c r="C6" s="67" t="n"/>
      <c r="D6" s="67" t="n"/>
      <c r="E6" s="67" t="n"/>
      <c r="F6" s="67" t="n"/>
      <c r="G6" s="67" t="n"/>
      <c r="H6" s="67" t="n"/>
    </row>
    <row r="7" ht="33" customHeight="1">
      <c r="A7" s="68" t="inlineStr">
        <is>
          <t>SYS-01</t>
        </is>
      </c>
      <c r="B7" s="69" t="inlineStr">
        <is>
          <t>System assumptions</t>
        </is>
      </c>
      <c r="C7" s="70" t="inlineStr">
        <is>
          <t>The clock is running and rst is a legal synchronous reset.</t>
        </is>
      </c>
      <c r="D7" s="70" t="inlineStr">
        <is>
          <t>rst is synchronous (spec §3.1). Reset values of LR are NOT specified — see Spec Questions Q6.</t>
        </is>
      </c>
      <c r="E7" s="70" t="inlineStr">
        <is>
          <t>Assumption — not stimulated</t>
        </is>
      </c>
      <c r="F7" s="71" t="inlineStr">
        <is>
          <t>High</t>
        </is>
      </c>
      <c r="G7" s="71" t="inlineStr">
        <is>
          <t>X</t>
        </is>
      </c>
      <c r="H7" s="71" t="inlineStr">
        <is>
          <t>X</t>
        </is>
      </c>
      <c r="I7" t="inlineStr">
        <is>
          <t>SYS</t>
        </is>
      </c>
    </row>
    <row r="8" ht="46" customHeight="1">
      <c r="A8" s="72" t="inlineStr">
        <is>
          <t>SYS-02</t>
        </is>
      </c>
      <c r="B8" s="73" t="inlineStr">
        <is>
          <t>System assumptions</t>
        </is>
      </c>
      <c r="C8" s="74" t="inlineStr">
        <is>
          <t>The active IMEM bank holds legal, already-decoded VLIW words before the kernel starts.</t>
        </is>
      </c>
      <c r="D8" s="74" t="inlineStr">
        <is>
          <t>Loaded through the APB slave. APB / bank-swap behavior is outside this AL revision (commands only).</t>
        </is>
      </c>
      <c r="E8" s="74" t="inlineStr">
        <is>
          <t>Assumption — not stimulated</t>
        </is>
      </c>
      <c r="F8" s="75" t="inlineStr">
        <is>
          <t>High</t>
        </is>
      </c>
      <c r="G8" s="75" t="inlineStr">
        <is>
          <t>X</t>
        </is>
      </c>
      <c r="H8" s="75" t="inlineStr">
        <is>
          <t>X</t>
        </is>
      </c>
      <c r="I8" t="inlineStr">
        <is>
          <t>SYS</t>
        </is>
      </c>
    </row>
    <row r="9" ht="59" customHeight="1">
      <c r="A9" s="68" t="inlineStr">
        <is>
          <t>SYS-03</t>
        </is>
      </c>
      <c r="B9" s="69" t="inlineStr">
        <is>
          <t>System assumptions</t>
        </is>
      </c>
      <c r="C9" s="70" t="inlineStr">
        <is>
          <t>A program never targets the same destination LR from two lanes of one VLIW word (ADDB/ADDBI count as writing both LR(n) and LR(n+1)).</t>
        </is>
      </c>
      <c r="D9" s="70" t="inlineStr">
        <is>
          <t>Spec §10.1: 'Programs must not target the same destination LR from two lanes'. What the hardware does if it happens is listed in group ILL.</t>
        </is>
      </c>
      <c r="E9" s="70" t="inlineStr">
        <is>
          <t>Assumption — not stimulated (ILL group probes it separately)</t>
        </is>
      </c>
      <c r="F9" s="71" t="inlineStr">
        <is>
          <t>High</t>
        </is>
      </c>
      <c r="G9" s="71" t="inlineStr">
        <is>
          <t>X</t>
        </is>
      </c>
      <c r="H9" s="71" t="inlineStr">
        <is>
          <t>X</t>
        </is>
      </c>
      <c r="I9" t="inlineStr">
        <is>
          <t>SYS</t>
        </is>
      </c>
    </row>
    <row r="10" ht="46" customHeight="1">
      <c r="A10" s="72" t="inlineStr">
        <is>
          <t>SYS-04</t>
        </is>
      </c>
      <c r="B10" s="73" t="inlineStr">
        <is>
          <t>System assumptions</t>
        </is>
      </c>
      <c r="C10" s="74" t="inlineStr">
        <is>
          <t>Operand encodings are legal: INC.MODP2 k in 1..9, LRD index even (0,2..14), BR/label target inside the active bank (0..127).</t>
        </is>
      </c>
      <c r="D10" s="74" t="inlineStr">
        <is>
          <t>k is encoded as k-1 on 4 bits; encodings 9..15 are illegal.</t>
        </is>
      </c>
      <c r="E10" s="74" t="inlineStr">
        <is>
          <t>Assumption — not stimulated (ILL group probes it separately)</t>
        </is>
      </c>
      <c r="F10" s="75" t="inlineStr">
        <is>
          <t>High</t>
        </is>
      </c>
      <c r="G10" s="75" t="inlineStr">
        <is>
          <t>X</t>
        </is>
      </c>
      <c r="H10" s="75" t="inlineStr">
        <is>
          <t>X</t>
        </is>
      </c>
      <c r="I10" t="inlineStr">
        <is>
          <t>SYS</t>
        </is>
      </c>
    </row>
    <row r="11" ht="46" customHeight="1">
      <c r="A11" s="68" t="inlineStr">
        <is>
          <t>SYS-05</t>
        </is>
      </c>
      <c r="B11" s="69" t="inlineStr">
        <is>
          <t>System assumptions</t>
        </is>
      </c>
      <c r="C11" s="70" t="inlineStr">
        <is>
          <t>CR0 = 0 and CR1 = 1 are hard-wired; CR content is static for the duration of a kernel.</t>
        </is>
      </c>
      <c r="D11" s="70" t="inlineStr">
        <is>
          <t>The host only changes CR through the inactive bank + swap, between kernels.</t>
        </is>
      </c>
      <c r="E11" s="70" t="inlineStr">
        <is>
          <t>Assumption — not stimulated</t>
        </is>
      </c>
      <c r="F11" s="71" t="inlineStr">
        <is>
          <t>High</t>
        </is>
      </c>
      <c r="G11" s="71" t="inlineStr">
        <is>
          <t>X</t>
        </is>
      </c>
      <c r="H11" s="71" t="inlineStr">
        <is>
          <t>X</t>
        </is>
      </c>
      <c r="I11" t="inlineStr">
        <is>
          <t>SYS</t>
        </is>
      </c>
    </row>
    <row r="12" ht="46" customHeight="1">
      <c r="A12" s="72" t="inlineStr">
        <is>
          <t>SYS-06</t>
        </is>
      </c>
      <c r="B12" s="73" t="inlineStr">
        <is>
          <t>System assumptions</t>
        </is>
      </c>
      <c r="C12" s="74" t="inlineStr">
        <is>
          <t>Downstream stages and XMEM never back-pressure CTRL.</t>
        </is>
      </c>
      <c r="D12" s="74" t="inlineStr">
        <is>
          <t>Spec §9 states CTRL has no hazard interlocks. The memory-wait behavior is NOT updated in the spec — placeholder group MEM.</t>
        </is>
      </c>
      <c r="E12" s="74" t="inlineStr">
        <is>
          <t>Assumption — remove when the memory-wait spec is released</t>
        </is>
      </c>
      <c r="F12" s="75" t="inlineStr">
        <is>
          <t>High</t>
        </is>
      </c>
      <c r="G12" s="75" t="inlineStr">
        <is>
          <t>X</t>
        </is>
      </c>
      <c r="H12" s="75" t="inlineStr">
        <is>
          <t>X</t>
        </is>
      </c>
      <c r="I12" t="inlineStr">
        <is>
          <t>SYS</t>
        </is>
      </c>
    </row>
    <row r="13" ht="22" customHeight="1">
      <c r="A13" s="66" t="inlineStr">
        <is>
          <t>A. LR SLOT — one group per opcode (highest-risk area: every op writes architectural state that all later code depends on)</t>
        </is>
      </c>
      <c r="B13" s="67" t="n"/>
      <c r="C13" s="67" t="n"/>
      <c r="D13" s="67" t="n"/>
      <c r="E13" s="67" t="n"/>
      <c r="F13" s="67" t="n"/>
      <c r="G13" s="67" t="n"/>
      <c r="H13" s="67" t="n"/>
    </row>
    <row r="14" ht="33" customHeight="1">
      <c r="A14" s="68" t="inlineStr">
        <is>
          <t>SET-01</t>
        </is>
      </c>
      <c r="B14" s="69" t="inlineStr">
        <is>
          <t>LR op: SET</t>
        </is>
      </c>
      <c r="C14" s="70" t="inlineStr">
        <is>
          <t>The module shall write CR[src5[3:0]] (32 bit) into dest when SET is issued with src5[4] = 0.</t>
        </is>
      </c>
      <c r="D14" s="70" t="inlineStr">
        <is>
          <t>Mode bit src5[4]. CR0 = 0, CR1 = 1 hard-wired. CR15 is a normal operand (spec §5).</t>
        </is>
      </c>
      <c r="E14" s="70" t="inlineStr">
        <is>
          <t>CR2..CR14 each, distinct 32-bit values → dest = CR value  [standard]</t>
        </is>
      </c>
      <c r="F14" s="71" t="inlineStr">
        <is>
          <t>High</t>
        </is>
      </c>
      <c r="G14" s="71" t="inlineStr">
        <is>
          <t>X</t>
        </is>
      </c>
      <c r="H14" s="71" t="inlineStr">
        <is>
          <t>X</t>
        </is>
      </c>
      <c r="I14" t="inlineStr">
        <is>
          <t>SET</t>
        </is>
      </c>
    </row>
    <row r="15" ht="33" customHeight="1">
      <c r="A15" s="76" t="n"/>
      <c r="B15" s="76" t="n"/>
      <c r="C15" s="76" t="n"/>
      <c r="D15" s="76" t="n"/>
      <c r="E15" s="70" t="inlineStr">
        <is>
          <t>CR0 → dest cleared (dest held a non-zero value before)  [corner]</t>
        </is>
      </c>
      <c r="F15" s="71" t="inlineStr">
        <is>
          <t>High</t>
        </is>
      </c>
      <c r="G15" s="71" t="inlineStr">
        <is>
          <t>X</t>
        </is>
      </c>
      <c r="H15" s="71" t="inlineStr">
        <is>
          <t>X</t>
        </is>
      </c>
      <c r="I15" t="inlineStr">
        <is>
          <t>SET</t>
        </is>
      </c>
    </row>
    <row r="16" ht="20" customHeight="1">
      <c r="A16" s="76" t="n"/>
      <c r="B16" s="76" t="n"/>
      <c r="C16" s="76" t="n"/>
      <c r="D16" s="76" t="n"/>
      <c r="E16" s="70" t="inlineStr">
        <is>
          <t>CR1 → dest = 1  [corner]</t>
        </is>
      </c>
      <c r="F16" s="71" t="inlineStr">
        <is>
          <t>High</t>
        </is>
      </c>
      <c r="G16" s="71" t="inlineStr">
        <is>
          <t>X</t>
        </is>
      </c>
      <c r="H16" s="71" t="inlineStr">
        <is>
          <t>X</t>
        </is>
      </c>
      <c r="I16" t="inlineStr">
        <is>
          <t>SET</t>
        </is>
      </c>
    </row>
    <row r="17" ht="20" customHeight="1">
      <c r="A17" s="76" t="n"/>
      <c r="B17" s="76" t="n"/>
      <c r="C17" s="76" t="n"/>
      <c r="D17" s="76" t="n"/>
      <c r="E17" s="70" t="inlineStr">
        <is>
          <t>CR15 → dest = CR15 (not blocked)  [corner]</t>
        </is>
      </c>
      <c r="F17" s="71" t="inlineStr">
        <is>
          <t>Medium</t>
        </is>
      </c>
      <c r="G17" s="71" t="inlineStr">
        <is>
          <t>X</t>
        </is>
      </c>
      <c r="H17" s="71" t="inlineStr">
        <is>
          <t>X</t>
        </is>
      </c>
      <c r="I17" t="inlineStr">
        <is>
          <t>SET</t>
        </is>
      </c>
    </row>
    <row r="18" ht="33" customHeight="1">
      <c r="A18" s="76" t="n"/>
      <c r="B18" s="76" t="n"/>
      <c r="C18" s="76" t="n"/>
      <c r="D18" s="76" t="n"/>
      <c r="E18" s="70" t="inlineStr">
        <is>
          <t>CR value 0xFFFFFFFF / 0x80000000 / 0x00000001 → full 32 bits copied, no truncation  [corner]</t>
        </is>
      </c>
      <c r="F18" s="71" t="inlineStr">
        <is>
          <t>Medium</t>
        </is>
      </c>
      <c r="G18" s="71" t="inlineStr">
        <is>
          <t>X</t>
        </is>
      </c>
      <c r="H18" s="71" t="inlineStr">
        <is>
          <t>X</t>
        </is>
      </c>
      <c r="I18" t="inlineStr">
        <is>
          <t>SET</t>
        </is>
      </c>
    </row>
    <row r="19" ht="33" customHeight="1">
      <c r="A19" s="77" t="n"/>
      <c r="B19" s="77" t="n"/>
      <c r="C19" s="77" t="n"/>
      <c r="D19" s="77" t="n"/>
      <c r="E19" s="70" t="inlineStr">
        <is>
          <t>dest = every LR0..LR15, in particular LR0 and LR15 (LR0 is not hard-wired)  [corner]</t>
        </is>
      </c>
      <c r="F19" s="71" t="inlineStr">
        <is>
          <t>Medium</t>
        </is>
      </c>
      <c r="G19" s="71" t="inlineStr">
        <is>
          <t>X</t>
        </is>
      </c>
      <c r="H19" s="71" t="inlineStr">
        <is>
          <t>X</t>
        </is>
      </c>
      <c r="I19" t="inlineStr">
        <is>
          <t>SET</t>
        </is>
      </c>
    </row>
    <row r="20" ht="33" customHeight="1">
      <c r="A20" s="72" t="inlineStr">
        <is>
          <t>SET-02</t>
        </is>
      </c>
      <c r="B20" s="73" t="inlineStr">
        <is>
          <t>LR op: SET</t>
        </is>
      </c>
      <c r="C20" s="74" t="inlineStr">
        <is>
          <t>The module shall write the sign-extended 4-bit immediate into dest when SET is issued with src5[4] = 1.</t>
        </is>
      </c>
      <c r="D20" s="74" t="inlineStr">
        <is>
          <t>Immediate range -8..+7, payload src5[3:0].</t>
        </is>
      </c>
      <c r="E20" s="74" t="inlineStr">
        <is>
          <t>All 16 payload values 0x0..0xF → dest = -8..+7 sign-extended to 32 bit  [standard]</t>
        </is>
      </c>
      <c r="F20" s="75" t="inlineStr">
        <is>
          <t>High</t>
        </is>
      </c>
      <c r="G20" s="75" t="inlineStr">
        <is>
          <t>X</t>
        </is>
      </c>
      <c r="H20" s="75" t="inlineStr">
        <is>
          <t>X</t>
        </is>
      </c>
      <c r="I20" t="inlineStr">
        <is>
          <t>SET</t>
        </is>
      </c>
    </row>
    <row r="21" ht="20" customHeight="1">
      <c r="A21" s="76" t="n"/>
      <c r="B21" s="76" t="n"/>
      <c r="C21" s="76" t="n"/>
      <c r="D21" s="76" t="n"/>
      <c r="E21" s="74" t="inlineStr">
        <is>
          <t>imm = 0 → dest = 0 (previously non-zero)  [corner]</t>
        </is>
      </c>
      <c r="F21" s="75" t="inlineStr">
        <is>
          <t>Medium</t>
        </is>
      </c>
      <c r="G21" s="75" t="inlineStr">
        <is>
          <t>X</t>
        </is>
      </c>
      <c r="H21" s="75" t="inlineStr">
        <is>
          <t>X</t>
        </is>
      </c>
      <c r="I21" t="inlineStr">
        <is>
          <t>SET</t>
        </is>
      </c>
    </row>
    <row r="22" ht="20" customHeight="1">
      <c r="A22" s="76" t="n"/>
      <c r="B22" s="76" t="n"/>
      <c r="C22" s="76" t="n"/>
      <c r="D22" s="76" t="n"/>
      <c r="E22" s="74" t="inlineStr">
        <is>
          <t>imm = +7 (max) and -8 (min)  [corner]</t>
        </is>
      </c>
      <c r="F22" s="75" t="inlineStr">
        <is>
          <t>High</t>
        </is>
      </c>
      <c r="G22" s="75" t="inlineStr">
        <is>
          <t>X</t>
        </is>
      </c>
      <c r="H22" s="75" t="inlineStr">
        <is>
          <t>X</t>
        </is>
      </c>
      <c r="I22" t="inlineStr">
        <is>
          <t>SET</t>
        </is>
      </c>
    </row>
    <row r="23" ht="33" customHeight="1">
      <c r="A23" s="76" t="n"/>
      <c r="B23" s="76" t="n"/>
      <c r="C23" s="76" t="n"/>
      <c r="D23" s="76" t="n"/>
      <c r="E23" s="74" t="inlineStr">
        <is>
          <t>imm = -1 (0xF) → dest = 0xFFFFFFFF, all upper bits set  [corner]</t>
        </is>
      </c>
      <c r="F23" s="75" t="inlineStr">
        <is>
          <t>High</t>
        </is>
      </c>
      <c r="G23" s="75" t="inlineStr">
        <is>
          <t>X</t>
        </is>
      </c>
      <c r="H23" s="75" t="inlineStr">
        <is>
          <t>X</t>
        </is>
      </c>
      <c r="I23" t="inlineStr">
        <is>
          <t>SET</t>
        </is>
      </c>
    </row>
    <row r="24" ht="33" customHeight="1">
      <c r="A24" s="76" t="n"/>
      <c r="B24" s="76" t="n"/>
      <c r="C24" s="76" t="n"/>
      <c r="D24" s="76" t="n"/>
      <c r="E24" s="74" t="inlineStr">
        <is>
          <t>src5 = 0b01111 (CR15) vs src5 = 0b10000 (imm 0): mode-bit boundary decodes correctly  [corner]</t>
        </is>
      </c>
      <c r="F24" s="75" t="inlineStr">
        <is>
          <t>High</t>
        </is>
      </c>
      <c r="G24" s="75" t="inlineStr">
        <is>
          <t>X</t>
        </is>
      </c>
      <c r="H24" s="75" t="inlineStr">
        <is>
          <t>X</t>
        </is>
      </c>
      <c r="I24" t="inlineStr">
        <is>
          <t>SET</t>
        </is>
      </c>
    </row>
    <row r="25" ht="33" customHeight="1">
      <c r="A25" s="77" t="n"/>
      <c r="B25" s="77" t="n"/>
      <c r="C25" s="77" t="n"/>
      <c r="D25" s="77" t="n"/>
      <c r="E25" s="74" t="inlineStr">
        <is>
          <t>src5 = 0b1xxxx with payload equal to a CR index holding another value → immediate wins, CR not read  [corner]</t>
        </is>
      </c>
      <c r="F25" s="75" t="inlineStr">
        <is>
          <t>High</t>
        </is>
      </c>
      <c r="G25" s="75" t="inlineStr">
        <is>
          <t>X</t>
        </is>
      </c>
      <c r="H25" s="75" t="inlineStr">
        <is>
          <t>X</t>
        </is>
      </c>
      <c r="I25" t="inlineStr">
        <is>
          <t>SET</t>
        </is>
      </c>
    </row>
    <row r="26" ht="20" customHeight="1">
      <c r="A26" s="68" t="inlineStr">
        <is>
          <t>ADD-01</t>
        </is>
      </c>
      <c r="B26" s="69" t="inlineStr">
        <is>
          <t>LR op: ADD</t>
        </is>
      </c>
      <c r="C26" s="70" t="inlineStr">
        <is>
          <t>The module shall write (src_a + src_b)[31:0] into dest when ADD is issued with two LR sources.</t>
        </is>
      </c>
      <c r="D26" s="70" t="inlineStr">
        <is>
          <t>32-bit two's-complement, wraps, no saturation, no flags.</t>
        </is>
      </c>
      <c r="E26" s="70" t="inlineStr">
        <is>
          <t>Random src_a, src_b  [standard]</t>
        </is>
      </c>
      <c r="F26" s="71" t="inlineStr">
        <is>
          <t>High</t>
        </is>
      </c>
      <c r="G26" s="71" t="inlineStr">
        <is>
          <t>X</t>
        </is>
      </c>
      <c r="H26" s="71" t="inlineStr">
        <is>
          <t>X</t>
        </is>
      </c>
      <c r="I26" t="inlineStr">
        <is>
          <t>ADD</t>
        </is>
      </c>
    </row>
    <row r="27" ht="20" customHeight="1">
      <c r="A27" s="76" t="n"/>
      <c r="B27" s="76" t="n"/>
      <c r="C27" s="76" t="n"/>
      <c r="D27" s="76" t="n"/>
      <c r="E27" s="70" t="inlineStr">
        <is>
          <t>0 + 0, 0 + x, x + 0  [corner]</t>
        </is>
      </c>
      <c r="F27" s="71" t="inlineStr">
        <is>
          <t>Medium</t>
        </is>
      </c>
      <c r="G27" s="71" t="inlineStr">
        <is>
          <t>X</t>
        </is>
      </c>
      <c r="H27" s="71" t="inlineStr">
        <is>
          <t>X</t>
        </is>
      </c>
      <c r="I27" t="inlineStr">
        <is>
          <t>ADD</t>
        </is>
      </c>
    </row>
    <row r="28" ht="33" customHeight="1">
      <c r="A28" s="76" t="n"/>
      <c r="B28" s="76" t="n"/>
      <c r="C28" s="76" t="n"/>
      <c r="D28" s="76" t="n"/>
      <c r="E28" s="70" t="inlineStr">
        <is>
          <t>0x7FFFFFFF + 1 → 0x80000000 (signed overflow, no saturation)  [corner]</t>
        </is>
      </c>
      <c r="F28" s="71" t="inlineStr">
        <is>
          <t>High</t>
        </is>
      </c>
      <c r="G28" s="71" t="inlineStr">
        <is>
          <t>X</t>
        </is>
      </c>
      <c r="H28" s="71" t="inlineStr">
        <is>
          <t>X</t>
        </is>
      </c>
      <c r="I28" t="inlineStr">
        <is>
          <t>ADD</t>
        </is>
      </c>
    </row>
    <row r="29" ht="20" customHeight="1">
      <c r="A29" s="76" t="n"/>
      <c r="B29" s="76" t="n"/>
      <c r="C29" s="76" t="n"/>
      <c r="D29" s="76" t="n"/>
      <c r="E29" s="70" t="inlineStr">
        <is>
          <t>0xFFFFFFFF + 1 → 0 (carry out dropped)  [corner]</t>
        </is>
      </c>
      <c r="F29" s="71" t="inlineStr">
        <is>
          <t>High</t>
        </is>
      </c>
      <c r="G29" s="71" t="inlineStr">
        <is>
          <t>X</t>
        </is>
      </c>
      <c r="H29" s="71" t="inlineStr">
        <is>
          <t>X</t>
        </is>
      </c>
      <c r="I29" t="inlineStr">
        <is>
          <t>ADD</t>
        </is>
      </c>
    </row>
    <row r="30" ht="20" customHeight="1">
      <c r="A30" s="76" t="n"/>
      <c r="B30" s="76" t="n"/>
      <c r="C30" s="76" t="n"/>
      <c r="D30" s="76" t="n"/>
      <c r="E30" s="70" t="inlineStr">
        <is>
          <t>0xFFFFFFFF + 0xFFFFFFFF → 0xFFFFFFFE  [corner]</t>
        </is>
      </c>
      <c r="F30" s="71" t="inlineStr">
        <is>
          <t>Medium</t>
        </is>
      </c>
      <c r="G30" s="71" t="inlineStr">
        <is>
          <t>X</t>
        </is>
      </c>
      <c r="H30" s="71" t="inlineStr">
        <is>
          <t>X</t>
        </is>
      </c>
      <c r="I30" t="inlineStr">
        <is>
          <t>ADD</t>
        </is>
      </c>
    </row>
    <row r="31" ht="20" customHeight="1">
      <c r="A31" s="76" t="n"/>
      <c r="B31" s="76" t="n"/>
      <c r="C31" s="76" t="n"/>
      <c r="D31" s="76" t="n"/>
      <c r="E31" s="70" t="inlineStr">
        <is>
          <t>Negative + positive crossing zero (-1 + 1, -5 + 3)  [corner]</t>
        </is>
      </c>
      <c r="F31" s="71" t="inlineStr">
        <is>
          <t>Medium</t>
        </is>
      </c>
      <c r="G31" s="71" t="inlineStr">
        <is>
          <t>X</t>
        </is>
      </c>
      <c r="H31" s="71" t="inlineStr">
        <is>
          <t>X</t>
        </is>
      </c>
      <c r="I31" t="inlineStr">
        <is>
          <t>ADD</t>
        </is>
      </c>
    </row>
    <row r="32" ht="33" customHeight="1">
      <c r="A32" s="77" t="n"/>
      <c r="B32" s="77" t="n"/>
      <c r="C32" s="77" t="n"/>
      <c r="D32" s="77" t="n"/>
      <c r="E32" s="70" t="inlineStr">
        <is>
          <t>Carry ripple across all 32 bits (0x7FFFFFFF + 0x80000001, 0x55555555 + 0x55555555)  [corner]</t>
        </is>
      </c>
      <c r="F32" s="71" t="inlineStr">
        <is>
          <t>Medium</t>
        </is>
      </c>
      <c r="G32" s="71" t="inlineStr">
        <is>
          <t>X</t>
        </is>
      </c>
      <c r="H32" s="71" t="inlineStr">
        <is>
          <t>X</t>
        </is>
      </c>
      <c r="I32" t="inlineStr">
        <is>
          <t>ADD</t>
        </is>
      </c>
    </row>
    <row r="33" ht="20" customHeight="1">
      <c r="A33" s="72" t="inlineStr">
        <is>
          <t>ADD-02</t>
        </is>
      </c>
      <c r="B33" s="73" t="inlineStr">
        <is>
          <t>LR op: ADD</t>
        </is>
      </c>
      <c r="C33" s="74" t="inlineStr">
        <is>
          <t>The module shall take src_b from the CR file when src_b is a CR index, and from the LR file when it is an LR index.</t>
        </is>
      </c>
      <c r="D33" s="74" t="inlineStr">
        <is>
          <t>LcrIdx: LR0-15 or CR0-15. Same numeric index in LR and CR is a different register.</t>
        </is>
      </c>
      <c r="E33" s="74" t="inlineStr">
        <is>
          <t>src_b = CR0 → dest = src_a (move)  [corner]</t>
        </is>
      </c>
      <c r="F33" s="75" t="inlineStr">
        <is>
          <t>High</t>
        </is>
      </c>
      <c r="G33" s="75" t="inlineStr">
        <is>
          <t>X</t>
        </is>
      </c>
      <c r="H33" s="75" t="inlineStr">
        <is>
          <t>X</t>
        </is>
      </c>
      <c r="I33" t="inlineStr">
        <is>
          <t>ADD</t>
        </is>
      </c>
    </row>
    <row r="34" ht="20" customHeight="1">
      <c r="A34" s="76" t="n"/>
      <c r="B34" s="76" t="n"/>
      <c r="C34" s="76" t="n"/>
      <c r="D34" s="76" t="n"/>
      <c r="E34" s="74" t="inlineStr">
        <is>
          <t>src_b = CR1 → dest = src_a + 1  [corner]</t>
        </is>
      </c>
      <c r="F34" s="75" t="inlineStr">
        <is>
          <t>High</t>
        </is>
      </c>
      <c r="G34" s="75" t="inlineStr">
        <is>
          <t>X</t>
        </is>
      </c>
      <c r="H34" s="75" t="inlineStr">
        <is>
          <t>X</t>
        </is>
      </c>
      <c r="I34" t="inlineStr">
        <is>
          <t>ADD</t>
        </is>
      </c>
    </row>
    <row r="35" ht="20" customHeight="1">
      <c r="A35" s="76" t="n"/>
      <c r="B35" s="76" t="n"/>
      <c r="C35" s="76" t="n"/>
      <c r="D35" s="76" t="n"/>
      <c r="E35" s="74" t="inlineStr">
        <is>
          <t>src_b = CR2..CR15 each  [standard]</t>
        </is>
      </c>
      <c r="F35" s="75" t="inlineStr">
        <is>
          <t>Medium</t>
        </is>
      </c>
      <c r="G35" s="75" t="inlineStr">
        <is>
          <t>X</t>
        </is>
      </c>
      <c r="H35" s="75" t="inlineStr">
        <is>
          <t>X</t>
        </is>
      </c>
      <c r="I35" t="inlineStr">
        <is>
          <t>ADD</t>
        </is>
      </c>
    </row>
    <row r="36" ht="33" customHeight="1">
      <c r="A36" s="76" t="n"/>
      <c r="B36" s="76" t="n"/>
      <c r="C36" s="76" t="n"/>
      <c r="D36" s="76" t="n"/>
      <c r="E36" s="74" t="inlineStr">
        <is>
          <t>src_b = LR k and CR k with the same k hold different values → correct file selected  [corner]</t>
        </is>
      </c>
      <c r="F36" s="75" t="inlineStr">
        <is>
          <t>High</t>
        </is>
      </c>
      <c r="G36" s="75" t="inlineStr">
        <is>
          <t>X</t>
        </is>
      </c>
      <c r="H36" s="75" t="inlineStr">
        <is>
          <t>X</t>
        </is>
      </c>
      <c r="I36" t="inlineStr">
        <is>
          <t>ADD</t>
        </is>
      </c>
    </row>
    <row r="37" ht="33" customHeight="1">
      <c r="A37" s="77" t="n"/>
      <c r="B37" s="77" t="n"/>
      <c r="C37" s="77" t="n"/>
      <c r="D37" s="77" t="n"/>
      <c r="E37" s="74" t="inlineStr">
        <is>
          <t>src_b = LR15 / CR15 and LR0 / CR0 (index boundaries of LcrIdx)  [corner]</t>
        </is>
      </c>
      <c r="F37" s="75" t="inlineStr">
        <is>
          <t>Medium</t>
        </is>
      </c>
      <c r="G37" s="75" t="inlineStr">
        <is>
          <t>X</t>
        </is>
      </c>
      <c r="H37" s="75" t="inlineStr">
        <is>
          <t>X</t>
        </is>
      </c>
      <c r="I37" t="inlineStr">
        <is>
          <t>ADD</t>
        </is>
      </c>
    </row>
    <row r="38" ht="20" customHeight="1">
      <c r="A38" s="68" t="inlineStr">
        <is>
          <t>ADD-03</t>
        </is>
      </c>
      <c r="B38" s="69" t="inlineStr">
        <is>
          <t>LR op: ADD</t>
        </is>
      </c>
      <c r="C38" s="70" t="inlineStr">
        <is>
          <t>The module shall give correct results when ADD operands alias each other or the destination.</t>
        </is>
      </c>
      <c r="D38" s="70" t="inlineStr">
        <is>
          <t>Operands are read before the write (snapshot).</t>
        </is>
      </c>
      <c r="E38" s="70" t="inlineStr">
        <is>
          <t>dest == src_a (accumulate: ADD LRx LRx LRy)  [corner]</t>
        </is>
      </c>
      <c r="F38" s="71" t="inlineStr">
        <is>
          <t>High</t>
        </is>
      </c>
      <c r="G38" s="71" t="inlineStr">
        <is>
          <t>X</t>
        </is>
      </c>
      <c r="H38" s="71" t="inlineStr">
        <is>
          <t>X</t>
        </is>
      </c>
      <c r="I38" t="inlineStr">
        <is>
          <t>ADD</t>
        </is>
      </c>
    </row>
    <row r="39" ht="20" customHeight="1">
      <c r="A39" s="76" t="n"/>
      <c r="B39" s="76" t="n"/>
      <c r="C39" s="76" t="n"/>
      <c r="D39" s="76" t="n"/>
      <c r="E39" s="70" t="inlineStr">
        <is>
          <t>dest == src_b  [corner]</t>
        </is>
      </c>
      <c r="F39" s="71" t="inlineStr">
        <is>
          <t>Medium</t>
        </is>
      </c>
      <c r="G39" s="71" t="inlineStr">
        <is>
          <t>X</t>
        </is>
      </c>
      <c r="H39" s="71" t="inlineStr">
        <is>
          <t>X</t>
        </is>
      </c>
      <c r="I39" t="inlineStr">
        <is>
          <t>ADD</t>
        </is>
      </c>
    </row>
    <row r="40" ht="20" customHeight="1">
      <c r="A40" s="76" t="n"/>
      <c r="B40" s="76" t="n"/>
      <c r="C40" s="76" t="n"/>
      <c r="D40" s="76" t="n"/>
      <c r="E40" s="70" t="inlineStr">
        <is>
          <t>src_a == src_b (doubling)  [corner]</t>
        </is>
      </c>
      <c r="F40" s="71" t="inlineStr">
        <is>
          <t>Medium</t>
        </is>
      </c>
      <c r="G40" s="71" t="inlineStr">
        <is>
          <t>X</t>
        </is>
      </c>
      <c r="H40" s="71" t="inlineStr">
        <is>
          <t>X</t>
        </is>
      </c>
      <c r="I40" t="inlineStr">
        <is>
          <t>ADD</t>
        </is>
      </c>
    </row>
    <row r="41" ht="20" customHeight="1">
      <c r="A41" s="76" t="n"/>
      <c r="B41" s="76" t="n"/>
      <c r="C41" s="76" t="n"/>
      <c r="D41" s="76" t="n"/>
      <c r="E41" s="70" t="inlineStr">
        <is>
          <t>dest == src_a == src_b  [corner]</t>
        </is>
      </c>
      <c r="F41" s="71" t="inlineStr">
        <is>
          <t>Medium</t>
        </is>
      </c>
      <c r="G41" s="71" t="inlineStr">
        <is>
          <t>X</t>
        </is>
      </c>
      <c r="H41" s="71" t="inlineStr">
        <is>
          <t>X</t>
        </is>
      </c>
      <c r="I41" t="inlineStr">
        <is>
          <t>ADD</t>
        </is>
      </c>
    </row>
    <row r="42" ht="20" customHeight="1">
      <c r="A42" s="77" t="n"/>
      <c r="B42" s="77" t="n"/>
      <c r="C42" s="77" t="n"/>
      <c r="D42" s="77" t="n"/>
      <c r="E42" s="70" t="inlineStr">
        <is>
          <t>dest, src_a, src_b = LR0 / LR15 boundary combinations  [corner]</t>
        </is>
      </c>
      <c r="F42" s="71" t="inlineStr">
        <is>
          <t>Low</t>
        </is>
      </c>
      <c r="G42" s="71" t="inlineStr">
        <is>
          <t>X</t>
        </is>
      </c>
      <c r="H42" s="71" t="inlineStr">
        <is>
          <t>X</t>
        </is>
      </c>
      <c r="I42" t="inlineStr">
        <is>
          <t>ADD</t>
        </is>
      </c>
    </row>
    <row r="43" ht="20" customHeight="1">
      <c r="A43" s="72" t="inlineStr">
        <is>
          <t>SUB-01</t>
        </is>
      </c>
      <c r="B43" s="73" t="inlineStr">
        <is>
          <t>LR op: SUB</t>
        </is>
      </c>
      <c r="C43" s="74" t="inlineStr">
        <is>
          <t>The module shall write (src_a - src_b)[31:0] into dest when SUB is issued.</t>
        </is>
      </c>
      <c r="D43" s="74" t="inlineStr">
        <is>
          <t>32-bit wrap, no saturation. Operand order matters: src_a - src_b.</t>
        </is>
      </c>
      <c r="E43" s="74" t="inlineStr">
        <is>
          <t>Random src_a, src_b  [standard]</t>
        </is>
      </c>
      <c r="F43" s="75" t="inlineStr">
        <is>
          <t>High</t>
        </is>
      </c>
      <c r="G43" s="75" t="inlineStr">
        <is>
          <t>X</t>
        </is>
      </c>
      <c r="H43" s="75" t="inlineStr">
        <is>
          <t>X</t>
        </is>
      </c>
      <c r="I43" t="inlineStr">
        <is>
          <t>SUB</t>
        </is>
      </c>
    </row>
    <row r="44" ht="20" customHeight="1">
      <c r="A44" s="76" t="n"/>
      <c r="B44" s="76" t="n"/>
      <c r="C44" s="76" t="n"/>
      <c r="D44" s="76" t="n"/>
      <c r="E44" s="74" t="inlineStr">
        <is>
          <t>src_a - src_b ≠ src_b - src_a checked (operand order)  [corner]</t>
        </is>
      </c>
      <c r="F44" s="75" t="inlineStr">
        <is>
          <t>High</t>
        </is>
      </c>
      <c r="G44" s="75" t="inlineStr">
        <is>
          <t>X</t>
        </is>
      </c>
      <c r="H44" s="75" t="inlineStr">
        <is>
          <t>X</t>
        </is>
      </c>
      <c r="I44" t="inlineStr">
        <is>
          <t>SUB</t>
        </is>
      </c>
    </row>
    <row r="45" ht="20" customHeight="1">
      <c r="A45" s="76" t="n"/>
      <c r="B45" s="76" t="n"/>
      <c r="C45" s="76" t="n"/>
      <c r="D45" s="76" t="n"/>
      <c r="E45" s="74" t="inlineStr">
        <is>
          <t>x - x → 0, x - 0 → x, 0 - x  [corner]</t>
        </is>
      </c>
      <c r="F45" s="75" t="inlineStr">
        <is>
          <t>Medium</t>
        </is>
      </c>
      <c r="G45" s="75" t="inlineStr">
        <is>
          <t>X</t>
        </is>
      </c>
      <c r="H45" s="75" t="inlineStr">
        <is>
          <t>X</t>
        </is>
      </c>
      <c r="I45" t="inlineStr">
        <is>
          <t>SUB</t>
        </is>
      </c>
    </row>
    <row r="46" ht="20" customHeight="1">
      <c r="A46" s="76" t="n"/>
      <c r="B46" s="76" t="n"/>
      <c r="C46" s="76" t="n"/>
      <c r="D46" s="76" t="n"/>
      <c r="E46" s="74" t="inlineStr">
        <is>
          <t>0 - 1 → 0xFFFFFFFF (underflow wraps)  [corner]</t>
        </is>
      </c>
      <c r="F46" s="75" t="inlineStr">
        <is>
          <t>High</t>
        </is>
      </c>
      <c r="G46" s="75" t="inlineStr">
        <is>
          <t>X</t>
        </is>
      </c>
      <c r="H46" s="75" t="inlineStr">
        <is>
          <t>X</t>
        </is>
      </c>
      <c r="I46" t="inlineStr">
        <is>
          <t>SUB</t>
        </is>
      </c>
    </row>
    <row r="47" ht="20" customHeight="1">
      <c r="A47" s="76" t="n"/>
      <c r="B47" s="76" t="n"/>
      <c r="C47" s="76" t="n"/>
      <c r="D47" s="76" t="n"/>
      <c r="E47" s="74" t="inlineStr">
        <is>
          <t>0x80000000 - 1 → 0x7FFFFFFF  [corner]</t>
        </is>
      </c>
      <c r="F47" s="75" t="inlineStr">
        <is>
          <t>High</t>
        </is>
      </c>
      <c r="G47" s="75" t="inlineStr">
        <is>
          <t>X</t>
        </is>
      </c>
      <c r="H47" s="75" t="inlineStr">
        <is>
          <t>X</t>
        </is>
      </c>
      <c r="I47" t="inlineStr">
        <is>
          <t>SUB</t>
        </is>
      </c>
    </row>
    <row r="48" ht="20" customHeight="1">
      <c r="A48" s="76" t="n"/>
      <c r="B48" s="76" t="n"/>
      <c r="C48" s="76" t="n"/>
      <c r="D48" s="76" t="n"/>
      <c r="E48" s="74" t="inlineStr">
        <is>
          <t>0 - 0x80000000 → 0x80000000  [corner]</t>
        </is>
      </c>
      <c r="F48" s="75" t="inlineStr">
        <is>
          <t>Medium</t>
        </is>
      </c>
      <c r="G48" s="75" t="inlineStr">
        <is>
          <t>X</t>
        </is>
      </c>
      <c r="H48" s="75" t="inlineStr">
        <is>
          <t>X</t>
        </is>
      </c>
      <c r="I48" t="inlineStr">
        <is>
          <t>SUB</t>
        </is>
      </c>
    </row>
    <row r="49" ht="20" customHeight="1">
      <c r="A49" s="77" t="n"/>
      <c r="B49" s="77" t="n"/>
      <c r="C49" s="77" t="n"/>
      <c r="D49" s="77" t="n"/>
      <c r="E49" s="74" t="inlineStr">
        <is>
          <t>0x7FFFFFFF - 0xFFFFFFFF → 0x80000000  [corner]</t>
        </is>
      </c>
      <c r="F49" s="75" t="inlineStr">
        <is>
          <t>Medium</t>
        </is>
      </c>
      <c r="G49" s="75" t="inlineStr">
        <is>
          <t>X</t>
        </is>
      </c>
      <c r="H49" s="75" t="inlineStr">
        <is>
          <t>X</t>
        </is>
      </c>
      <c r="I49" t="inlineStr">
        <is>
          <t>SUB</t>
        </is>
      </c>
    </row>
    <row r="50" ht="20" customHeight="1">
      <c r="A50" s="68" t="inlineStr">
        <is>
          <t>SUB-02</t>
        </is>
      </c>
      <c r="B50" s="69" t="inlineStr">
        <is>
          <t>LR op: SUB</t>
        </is>
      </c>
      <c r="C50" s="70" t="inlineStr">
        <is>
          <t>The module shall take src_b from the CR or LR file according to its index when SUB is issued.</t>
        </is>
      </c>
      <c r="D50" s="70" t="inlineStr">
        <is>
          <t>Same operand rules as ADD.</t>
        </is>
      </c>
      <c r="E50" s="70" t="inlineStr">
        <is>
          <t>src_b = CR1 → decrement by one  [corner]</t>
        </is>
      </c>
      <c r="F50" s="71" t="inlineStr">
        <is>
          <t>High</t>
        </is>
      </c>
      <c r="G50" s="71" t="inlineStr">
        <is>
          <t>X</t>
        </is>
      </c>
      <c r="H50" s="71" t="inlineStr">
        <is>
          <t>X</t>
        </is>
      </c>
      <c r="I50" t="inlineStr">
        <is>
          <t>SUB</t>
        </is>
      </c>
    </row>
    <row r="51" ht="20" customHeight="1">
      <c r="A51" s="76" t="n"/>
      <c r="B51" s="76" t="n"/>
      <c r="C51" s="76" t="n"/>
      <c r="D51" s="76" t="n"/>
      <c r="E51" s="70" t="inlineStr">
        <is>
          <t>src_b = CR0 → dest = src_a  [corner]</t>
        </is>
      </c>
      <c r="F51" s="71" t="inlineStr">
        <is>
          <t>Medium</t>
        </is>
      </c>
      <c r="G51" s="71" t="inlineStr">
        <is>
          <t>X</t>
        </is>
      </c>
      <c r="H51" s="71" t="inlineStr">
        <is>
          <t>X</t>
        </is>
      </c>
      <c r="I51" t="inlineStr">
        <is>
          <t>SUB</t>
        </is>
      </c>
    </row>
    <row r="52" ht="20" customHeight="1">
      <c r="A52" s="76" t="n"/>
      <c r="B52" s="76" t="n"/>
      <c r="C52" s="76" t="n"/>
      <c r="D52" s="76" t="n"/>
      <c r="E52" s="70" t="inlineStr">
        <is>
          <t>src_b = LR k vs CR k with different values  [corner]</t>
        </is>
      </c>
      <c r="F52" s="71" t="inlineStr">
        <is>
          <t>High</t>
        </is>
      </c>
      <c r="G52" s="71" t="inlineStr">
        <is>
          <t>X</t>
        </is>
      </c>
      <c r="H52" s="71" t="inlineStr">
        <is>
          <t>X</t>
        </is>
      </c>
      <c r="I52" t="inlineStr">
        <is>
          <t>SUB</t>
        </is>
      </c>
    </row>
    <row r="53" ht="20" customHeight="1">
      <c r="A53" s="77" t="n"/>
      <c r="B53" s="77" t="n"/>
      <c r="C53" s="77" t="n"/>
      <c r="D53" s="77" t="n"/>
      <c r="E53" s="70" t="inlineStr">
        <is>
          <t>src_b = CR2..CR15 each  [standard]</t>
        </is>
      </c>
      <c r="F53" s="71" t="inlineStr">
        <is>
          <t>Medium</t>
        </is>
      </c>
      <c r="G53" s="71" t="inlineStr">
        <is>
          <t>X</t>
        </is>
      </c>
      <c r="H53" s="71" t="inlineStr">
        <is>
          <t>X</t>
        </is>
      </c>
      <c r="I53" t="inlineStr">
        <is>
          <t>SUB</t>
        </is>
      </c>
    </row>
    <row r="54" ht="20" customHeight="1">
      <c r="A54" s="72" t="inlineStr">
        <is>
          <t>SUB-03</t>
        </is>
      </c>
      <c r="B54" s="73" t="inlineStr">
        <is>
          <t>LR op: SUB</t>
        </is>
      </c>
      <c r="C54" s="74" t="inlineStr">
        <is>
          <t>The module shall give correct results when SUB operands alias each other or the destination.</t>
        </is>
      </c>
      <c r="D54" s="74" t="n"/>
      <c r="E54" s="74" t="inlineStr">
        <is>
          <t>dest == src_a (SUB LRx LRx CR1 – loop counter)  [corner]</t>
        </is>
      </c>
      <c r="F54" s="75" t="inlineStr">
        <is>
          <t>High</t>
        </is>
      </c>
      <c r="G54" s="75" t="inlineStr">
        <is>
          <t>X</t>
        </is>
      </c>
      <c r="H54" s="75" t="inlineStr">
        <is>
          <t>X</t>
        </is>
      </c>
      <c r="I54" t="inlineStr">
        <is>
          <t>SUB</t>
        </is>
      </c>
    </row>
    <row r="55" ht="20" customHeight="1">
      <c r="A55" s="76" t="n"/>
      <c r="B55" s="76" t="n"/>
      <c r="C55" s="76" t="n"/>
      <c r="D55" s="76" t="n"/>
      <c r="E55" s="74" t="inlineStr">
        <is>
          <t>dest == src_b  [corner]</t>
        </is>
      </c>
      <c r="F55" s="75" t="inlineStr">
        <is>
          <t>Medium</t>
        </is>
      </c>
      <c r="G55" s="75" t="inlineStr">
        <is>
          <t>X</t>
        </is>
      </c>
      <c r="H55" s="75" t="inlineStr">
        <is>
          <t>X</t>
        </is>
      </c>
      <c r="I55" t="inlineStr">
        <is>
          <t>SUB</t>
        </is>
      </c>
    </row>
    <row r="56" ht="20" customHeight="1">
      <c r="A56" s="77" t="n"/>
      <c r="B56" s="77" t="n"/>
      <c r="C56" s="77" t="n"/>
      <c r="D56" s="77" t="n"/>
      <c r="E56" s="74" t="inlineStr">
        <is>
          <t>src_a == src_b → 0  [corner]</t>
        </is>
      </c>
      <c r="F56" s="75" t="inlineStr">
        <is>
          <t>Medium</t>
        </is>
      </c>
      <c r="G56" s="75" t="inlineStr">
        <is>
          <t>X</t>
        </is>
      </c>
      <c r="H56" s="75" t="inlineStr">
        <is>
          <t>X</t>
        </is>
      </c>
      <c r="I56" t="inlineStr">
        <is>
          <t>SUB</t>
        </is>
      </c>
    </row>
    <row r="57" ht="20" customHeight="1">
      <c r="A57" s="68" t="inlineStr">
        <is>
          <t>MOD-01</t>
        </is>
      </c>
      <c r="B57" s="69" t="inlineStr">
        <is>
          <t>LR op: INC.MODP2</t>
        </is>
      </c>
      <c r="C57" s="70" t="inlineStr">
        <is>
          <t>The module shall write (dst + step) &amp; ((1&lt;&lt;k)-1) into dst when INC.MODP2 is issued, for every legal k.</t>
        </is>
      </c>
      <c r="D57" s="70" t="inlineStr">
        <is>
          <t>k semantic 1..9, encoded k-1 (4 bits). dst is both source and destination.</t>
        </is>
      </c>
      <c r="E57" s="70" t="inlineStr">
        <is>
          <t>k = 1..9, each value, dst/step inside the mask  [standard]</t>
        </is>
      </c>
      <c r="F57" s="71" t="inlineStr">
        <is>
          <t>High</t>
        </is>
      </c>
      <c r="G57" s="71" t="inlineStr">
        <is>
          <t>X</t>
        </is>
      </c>
      <c r="H57" s="71" t="inlineStr">
        <is>
          <t>X</t>
        </is>
      </c>
      <c r="I57" t="inlineStr">
        <is>
          <t>MOD</t>
        </is>
      </c>
    </row>
    <row r="58" ht="20" customHeight="1">
      <c r="A58" s="76" t="n"/>
      <c r="B58" s="76" t="n"/>
      <c r="C58" s="76" t="n"/>
      <c r="D58" s="76" t="n"/>
      <c r="E58" s="70" t="inlineStr">
        <is>
          <t>k = 1 (mask 0x1, encoded 0)  [corner]</t>
        </is>
      </c>
      <c r="F58" s="71" t="inlineStr">
        <is>
          <t>High</t>
        </is>
      </c>
      <c r="G58" s="71" t="inlineStr">
        <is>
          <t>X</t>
        </is>
      </c>
      <c r="H58" s="71" t="inlineStr">
        <is>
          <t>X</t>
        </is>
      </c>
      <c r="I58" t="inlineStr">
        <is>
          <t>MOD</t>
        </is>
      </c>
    </row>
    <row r="59" ht="20" customHeight="1">
      <c r="A59" s="76" t="n"/>
      <c r="B59" s="76" t="n"/>
      <c r="C59" s="76" t="n"/>
      <c r="D59" s="76" t="n"/>
      <c r="E59" s="70" t="inlineStr">
        <is>
          <t>k = 9 (mask 0x1FF, encoded 8)  [corner]</t>
        </is>
      </c>
      <c r="F59" s="71" t="inlineStr">
        <is>
          <t>High</t>
        </is>
      </c>
      <c r="G59" s="71" t="inlineStr">
        <is>
          <t>X</t>
        </is>
      </c>
      <c r="H59" s="71" t="inlineStr">
        <is>
          <t>X</t>
        </is>
      </c>
      <c r="I59" t="inlineStr">
        <is>
          <t>MOD</t>
        </is>
      </c>
    </row>
    <row r="60" ht="20" customHeight="1">
      <c r="A60" s="77" t="n"/>
      <c r="B60" s="77" t="n"/>
      <c r="C60" s="77" t="n"/>
      <c r="D60" s="77" t="n"/>
      <c r="E60" s="70" t="inlineStr">
        <is>
          <t>Result upper bits [31:k] are always 0  [corner]</t>
        </is>
      </c>
      <c r="F60" s="71" t="inlineStr">
        <is>
          <t>High</t>
        </is>
      </c>
      <c r="G60" s="71" t="inlineStr">
        <is>
          <t>X</t>
        </is>
      </c>
      <c r="H60" s="71" t="inlineStr">
        <is>
          <t>X</t>
        </is>
      </c>
      <c r="I60" t="inlineStr">
        <is>
          <t>MOD</t>
        </is>
      </c>
    </row>
    <row r="61" ht="33" customHeight="1">
      <c r="A61" s="72" t="inlineStr">
        <is>
          <t>MOD-02</t>
        </is>
      </c>
      <c r="B61" s="73" t="inlineStr">
        <is>
          <t>LR op: INC.MODP2</t>
        </is>
      </c>
      <c r="C61" s="74" t="inlineStr">
        <is>
          <t>The module shall wrap at exactly 2^k when INC.MODP2 is issued.</t>
        </is>
      </c>
      <c r="D61" s="74" t="inlineStr">
        <is>
          <t>Circular-buffer pointer behavior.</t>
        </is>
      </c>
      <c r="E61" s="74" t="inlineStr">
        <is>
          <t>dst + step = 2^k - 1 → no wrap (mask - 1 .. mask boundary)  [corner]</t>
        </is>
      </c>
      <c r="F61" s="75" t="inlineStr">
        <is>
          <t>High</t>
        </is>
      </c>
      <c r="G61" s="75" t="inlineStr">
        <is>
          <t>X</t>
        </is>
      </c>
      <c r="H61" s="75" t="inlineStr">
        <is>
          <t>X</t>
        </is>
      </c>
      <c r="I61" t="inlineStr">
        <is>
          <t>MOD</t>
        </is>
      </c>
    </row>
    <row r="62" ht="20" customHeight="1">
      <c r="A62" s="76" t="n"/>
      <c r="B62" s="76" t="n"/>
      <c r="C62" s="76" t="n"/>
      <c r="D62" s="76" t="n"/>
      <c r="E62" s="74" t="inlineStr">
        <is>
          <t>dst + step = 2^k → 0  [corner]</t>
        </is>
      </c>
      <c r="F62" s="75" t="inlineStr">
        <is>
          <t>High</t>
        </is>
      </c>
      <c r="G62" s="75" t="inlineStr">
        <is>
          <t>X</t>
        </is>
      </c>
      <c r="H62" s="75" t="inlineStr">
        <is>
          <t>X</t>
        </is>
      </c>
      <c r="I62" t="inlineStr">
        <is>
          <t>MOD</t>
        </is>
      </c>
    </row>
    <row r="63" ht="20" customHeight="1">
      <c r="A63" s="76" t="n"/>
      <c r="B63" s="76" t="n"/>
      <c r="C63" s="76" t="n"/>
      <c r="D63" s="76" t="n"/>
      <c r="E63" s="74" t="inlineStr">
        <is>
          <t>dst = mask, step = 1 → 0  [corner]</t>
        </is>
      </c>
      <c r="F63" s="75" t="inlineStr">
        <is>
          <t>High</t>
        </is>
      </c>
      <c r="G63" s="75" t="inlineStr">
        <is>
          <t>X</t>
        </is>
      </c>
      <c r="H63" s="75" t="inlineStr">
        <is>
          <t>X</t>
        </is>
      </c>
      <c r="I63" t="inlineStr">
        <is>
          <t>MOD</t>
        </is>
      </c>
    </row>
    <row r="64" ht="20" customHeight="1">
      <c r="A64" s="76" t="n"/>
      <c r="B64" s="76" t="n"/>
      <c r="C64" s="76" t="n"/>
      <c r="D64" s="76" t="n"/>
      <c r="E64" s="74" t="inlineStr">
        <is>
          <t>dst + step = 2^k + 1 → 1  [corner]</t>
        </is>
      </c>
      <c r="F64" s="75" t="inlineStr">
        <is>
          <t>Medium</t>
        </is>
      </c>
      <c r="G64" s="75" t="inlineStr">
        <is>
          <t>X</t>
        </is>
      </c>
      <c r="H64" s="75" t="inlineStr">
        <is>
          <t>X</t>
        </is>
      </c>
      <c r="I64" t="inlineStr">
        <is>
          <t>MOD</t>
        </is>
      </c>
    </row>
    <row r="65" ht="20" customHeight="1">
      <c r="A65" s="76" t="n"/>
      <c r="B65" s="76" t="n"/>
      <c r="C65" s="76" t="n"/>
      <c r="D65" s="76" t="n"/>
      <c r="E65" s="74" t="inlineStr">
        <is>
          <t>step = 0 → dst unchanged (dst already inside mask)  [corner]</t>
        </is>
      </c>
      <c r="F65" s="75" t="inlineStr">
        <is>
          <t>Medium</t>
        </is>
      </c>
      <c r="G65" s="75" t="inlineStr">
        <is>
          <t>X</t>
        </is>
      </c>
      <c r="H65" s="75" t="inlineStr">
        <is>
          <t>X</t>
        </is>
      </c>
      <c r="I65" t="inlineStr">
        <is>
          <t>MOD</t>
        </is>
      </c>
    </row>
    <row r="66" ht="33" customHeight="1">
      <c r="A66" s="76" t="n"/>
      <c r="B66" s="76" t="n"/>
      <c r="C66" s="76" t="n"/>
      <c r="D66" s="76" t="n"/>
      <c r="E66" s="74" t="inlineStr">
        <is>
          <t>Walk step = 1 for 2^k + 2 consecutive words → full period then wraps, for k = 1, 4, 9  [standard]</t>
        </is>
      </c>
      <c r="F66" s="75" t="inlineStr">
        <is>
          <t>High</t>
        </is>
      </c>
      <c r="G66" s="75" t="inlineStr">
        <is>
          <t>X</t>
        </is>
      </c>
      <c r="H66" s="75" t="inlineStr">
        <is>
          <t>X</t>
        </is>
      </c>
      <c r="I66" t="inlineStr">
        <is>
          <t>MOD</t>
        </is>
      </c>
    </row>
    <row r="67" ht="33" customHeight="1">
      <c r="A67" s="77" t="n"/>
      <c r="B67" s="77" t="n"/>
      <c r="C67" s="77" t="n"/>
      <c r="D67" s="77" t="n"/>
      <c r="E67" s="74" t="inlineStr">
        <is>
          <t>Walk with step = 3 (not a divisor of 2^k) → visits every slot, wraps correctly  [standard]</t>
        </is>
      </c>
      <c r="F67" s="75" t="inlineStr">
        <is>
          <t>Medium</t>
        </is>
      </c>
      <c r="G67" s="75" t="inlineStr">
        <is>
          <t>X</t>
        </is>
      </c>
      <c r="H67" s="75" t="inlineStr">
        <is>
          <t>X</t>
        </is>
      </c>
      <c r="I67" t="inlineStr">
        <is>
          <t>MOD</t>
        </is>
      </c>
    </row>
    <row r="68" ht="20" customHeight="1">
      <c r="A68" s="68" t="inlineStr">
        <is>
          <t>MOD-03</t>
        </is>
      </c>
      <c r="B68" s="69" t="inlineStr">
        <is>
          <t>LR op: INC.MODP2</t>
        </is>
      </c>
      <c r="C68" s="70" t="inlineStr">
        <is>
          <t>The module shall handle negative and large steps when INC.MODP2 is issued.</t>
        </is>
      </c>
      <c r="D68" s="70" t="inlineStr">
        <is>
          <t>step is a signed 32-bit value from an LR or a CR.</t>
        </is>
      </c>
      <c r="E68" s="70" t="inlineStr">
        <is>
          <t>dst = 0, step = -1 → mask (wraps below zero)  [corner]</t>
        </is>
      </c>
      <c r="F68" s="71" t="inlineStr">
        <is>
          <t>High</t>
        </is>
      </c>
      <c r="G68" s="71" t="inlineStr">
        <is>
          <t>X</t>
        </is>
      </c>
      <c r="H68" s="71" t="inlineStr">
        <is>
          <t>X</t>
        </is>
      </c>
      <c r="I68" t="inlineStr">
        <is>
          <t>MOD</t>
        </is>
      </c>
    </row>
    <row r="69" ht="20" customHeight="1">
      <c r="A69" s="76" t="n"/>
      <c r="B69" s="76" t="n"/>
      <c r="C69" s="76" t="n"/>
      <c r="D69" s="76" t="n"/>
      <c r="E69" s="70" t="inlineStr">
        <is>
          <t>step = -2^k → dst unchanged  [corner]</t>
        </is>
      </c>
      <c r="F69" s="71" t="inlineStr">
        <is>
          <t>Medium</t>
        </is>
      </c>
      <c r="G69" s="71" t="inlineStr">
        <is>
          <t>X</t>
        </is>
      </c>
      <c r="H69" s="71" t="inlineStr">
        <is>
          <t>X</t>
        </is>
      </c>
      <c r="I69" t="inlineStr">
        <is>
          <t>MOD</t>
        </is>
      </c>
    </row>
    <row r="70" ht="20" customHeight="1">
      <c r="A70" s="76" t="n"/>
      <c r="B70" s="76" t="n"/>
      <c r="C70" s="76" t="n"/>
      <c r="D70" s="76" t="n"/>
      <c r="E70" s="70" t="inlineStr">
        <is>
          <t>step = 0xFFFFFFFF, 0x80000000, 0x7FFFFFFF  [corner]</t>
        </is>
      </c>
      <c r="F70" s="71" t="inlineStr">
        <is>
          <t>High</t>
        </is>
      </c>
      <c r="G70" s="71" t="inlineStr">
        <is>
          <t>X</t>
        </is>
      </c>
      <c r="H70" s="71" t="inlineStr">
        <is>
          <t>X</t>
        </is>
      </c>
      <c r="I70" t="inlineStr">
        <is>
          <t>MOD</t>
        </is>
      </c>
    </row>
    <row r="71" ht="20" customHeight="1">
      <c r="A71" s="76" t="n"/>
      <c r="B71" s="76" t="n"/>
      <c r="C71" s="76" t="n"/>
      <c r="D71" s="76" t="n"/>
      <c r="E71" s="70" t="inlineStr">
        <is>
          <t>|step| &gt; 2^k (multiple wraps in one op)  [corner]</t>
        </is>
      </c>
      <c r="F71" s="71" t="inlineStr">
        <is>
          <t>High</t>
        </is>
      </c>
      <c r="G71" s="71" t="inlineStr">
        <is>
          <t>X</t>
        </is>
      </c>
      <c r="H71" s="71" t="inlineStr">
        <is>
          <t>X</t>
        </is>
      </c>
      <c r="I71" t="inlineStr">
        <is>
          <t>MOD</t>
        </is>
      </c>
    </row>
    <row r="72" ht="33" customHeight="1">
      <c r="A72" s="77" t="n"/>
      <c r="B72" s="77" t="n"/>
      <c r="C72" s="77" t="n"/>
      <c r="D72" s="77" t="n"/>
      <c r="E72" s="70" t="inlineStr">
        <is>
          <t>dst + step carries beyond 32 bit (dst = 0xFFFFFFFF, step = 1)  [corner]</t>
        </is>
      </c>
      <c r="F72" s="71" t="inlineStr">
        <is>
          <t>Medium</t>
        </is>
      </c>
      <c r="G72" s="71" t="inlineStr">
        <is>
          <t>X</t>
        </is>
      </c>
      <c r="H72" s="71" t="inlineStr">
        <is>
          <t>X</t>
        </is>
      </c>
      <c r="I72" t="inlineStr">
        <is>
          <t>MOD</t>
        </is>
      </c>
    </row>
    <row r="73" ht="33" customHeight="1">
      <c r="A73" s="72" t="inlineStr">
        <is>
          <t>MOD-04</t>
        </is>
      </c>
      <c r="B73" s="73" t="inlineStr">
        <is>
          <t>LR op: INC.MODP2</t>
        </is>
      </c>
      <c r="C73" s="74" t="inlineStr">
        <is>
          <t>The module shall mask the sum, not only the step, when dst holds bits above the mask.</t>
        </is>
      </c>
      <c r="D73" s="74" t="inlineStr">
        <is>
          <t>Typical error: a design that masks only the increment.</t>
        </is>
      </c>
      <c r="E73" s="74" t="inlineStr">
        <is>
          <t>dst has bits above k (dst = 0xFFFFFF00 + n), step = 0 → upper bits cleared  [corner]</t>
        </is>
      </c>
      <c r="F73" s="75" t="inlineStr">
        <is>
          <t>High</t>
        </is>
      </c>
      <c r="G73" s="75" t="inlineStr">
        <is>
          <t>X</t>
        </is>
      </c>
      <c r="H73" s="75" t="inlineStr">
        <is>
          <t>X</t>
        </is>
      </c>
      <c r="I73" t="inlineStr">
        <is>
          <t>MOD</t>
        </is>
      </c>
    </row>
    <row r="74" ht="20" customHeight="1">
      <c r="A74" s="76" t="n"/>
      <c r="B74" s="76" t="n"/>
      <c r="C74" s="76" t="n"/>
      <c r="D74" s="76" t="n"/>
      <c r="E74" s="74" t="inlineStr">
        <is>
          <t>dst = 0xFFFFFFFF, step = 1, k = 4 → 0  [corner]</t>
        </is>
      </c>
      <c r="F74" s="75" t="inlineStr">
        <is>
          <t>High</t>
        </is>
      </c>
      <c r="G74" s="75" t="inlineStr">
        <is>
          <t>X</t>
        </is>
      </c>
      <c r="H74" s="75" t="inlineStr">
        <is>
          <t>X</t>
        </is>
      </c>
      <c r="I74" t="inlineStr">
        <is>
          <t>MOD</t>
        </is>
      </c>
    </row>
    <row r="75" ht="20" customHeight="1">
      <c r="A75" s="77" t="n"/>
      <c r="B75" s="77" t="n"/>
      <c r="C75" s="77" t="n"/>
      <c r="D75" s="77" t="n"/>
      <c r="E75" s="74" t="inlineStr">
        <is>
          <t>dst &gt; mask and step negative  [corner]</t>
        </is>
      </c>
      <c r="F75" s="75" t="inlineStr">
        <is>
          <t>Medium</t>
        </is>
      </c>
      <c r="G75" s="75" t="inlineStr">
        <is>
          <t>X</t>
        </is>
      </c>
      <c r="H75" s="75" t="inlineStr">
        <is>
          <t>X</t>
        </is>
      </c>
      <c r="I75" t="inlineStr">
        <is>
          <t>MOD</t>
        </is>
      </c>
    </row>
    <row r="76" ht="20" customHeight="1">
      <c r="A76" s="68" t="inlineStr">
        <is>
          <t>MOD-05</t>
        </is>
      </c>
      <c r="B76" s="69" t="inlineStr">
        <is>
          <t>LR op: INC.MODP2</t>
        </is>
      </c>
      <c r="C76" s="70" t="inlineStr">
        <is>
          <t>The module shall read step from LR or CR according to its index when INC.MODP2 is issued.</t>
        </is>
      </c>
      <c r="D76" s="70" t="n"/>
      <c r="E76" s="70" t="inlineStr">
        <is>
          <t>step = CR0 (no move), CR1 (+1), CR15  [corner]</t>
        </is>
      </c>
      <c r="F76" s="71" t="inlineStr">
        <is>
          <t>High</t>
        </is>
      </c>
      <c r="G76" s="71" t="inlineStr">
        <is>
          <t>X</t>
        </is>
      </c>
      <c r="H76" s="71" t="inlineStr">
        <is>
          <t>X</t>
        </is>
      </c>
      <c r="I76" t="inlineStr">
        <is>
          <t>MOD</t>
        </is>
      </c>
    </row>
    <row r="77" ht="20" customHeight="1">
      <c r="A77" s="76" t="n"/>
      <c r="B77" s="76" t="n"/>
      <c r="C77" s="76" t="n"/>
      <c r="D77" s="76" t="n"/>
      <c r="E77" s="70" t="inlineStr">
        <is>
          <t>step = LR k vs CR k  [corner]</t>
        </is>
      </c>
      <c r="F77" s="71" t="inlineStr">
        <is>
          <t>Medium</t>
        </is>
      </c>
      <c r="G77" s="71" t="inlineStr">
        <is>
          <t>X</t>
        </is>
      </c>
      <c r="H77" s="71" t="inlineStr">
        <is>
          <t>X</t>
        </is>
      </c>
      <c r="I77" t="inlineStr">
        <is>
          <t>MOD</t>
        </is>
      </c>
    </row>
    <row r="78" ht="20" customHeight="1">
      <c r="A78" s="76" t="n"/>
      <c r="B78" s="76" t="n"/>
      <c r="C78" s="76" t="n"/>
      <c r="D78" s="76" t="n"/>
      <c r="E78" s="70" t="inlineStr">
        <is>
          <t>step register == dst (dst doubles modulo 2^k)  [corner]</t>
        </is>
      </c>
      <c r="F78" s="71" t="inlineStr">
        <is>
          <t>High</t>
        </is>
      </c>
      <c r="G78" s="71" t="inlineStr">
        <is>
          <t>X</t>
        </is>
      </c>
      <c r="H78" s="71" t="inlineStr">
        <is>
          <t>X</t>
        </is>
      </c>
      <c r="I78" t="inlineStr">
        <is>
          <t>MOD</t>
        </is>
      </c>
    </row>
    <row r="79" ht="33" customHeight="1">
      <c r="A79" s="77" t="n"/>
      <c r="B79" s="77" t="n"/>
      <c r="C79" s="77" t="n"/>
      <c r="D79" s="77" t="n"/>
      <c r="E79" s="70" t="inlineStr">
        <is>
          <t>step = LR written in the previous word (RAW distance 1)  [corner]</t>
        </is>
      </c>
      <c r="F79" s="71" t="inlineStr">
        <is>
          <t>High</t>
        </is>
      </c>
      <c r="G79" s="71" t="inlineStr">
        <is>
          <t>X</t>
        </is>
      </c>
      <c r="H79" s="71" t="inlineStr">
        <is>
          <t>X</t>
        </is>
      </c>
      <c r="I79" t="inlineStr">
        <is>
          <t>MOD</t>
        </is>
      </c>
    </row>
    <row r="80" ht="20" customHeight="1">
      <c r="A80" s="72" t="inlineStr">
        <is>
          <t>INC-01</t>
        </is>
      </c>
      <c r="B80" s="73" t="inlineStr">
        <is>
          <t>LR op: INC</t>
        </is>
      </c>
      <c r="C80" s="74" t="inlineStr">
        <is>
          <t>The module shall write (dest + imm)[31:0] into dest when INC is issued.</t>
        </is>
      </c>
      <c r="D80" s="74" t="inlineStr">
        <is>
          <t>imm is UNSIGNED, 8 bits in the current encoding (shared field with ADDBI).</t>
        </is>
      </c>
      <c r="E80" s="74" t="inlineStr">
        <is>
          <t>imm = 1..254 various  [standard]</t>
        </is>
      </c>
      <c r="F80" s="75" t="inlineStr">
        <is>
          <t>High</t>
        </is>
      </c>
      <c r="G80" s="75" t="inlineStr">
        <is>
          <t>X</t>
        </is>
      </c>
      <c r="H80" s="75" t="inlineStr">
        <is>
          <t>X</t>
        </is>
      </c>
      <c r="I80" t="inlineStr">
        <is>
          <t>INC</t>
        </is>
      </c>
    </row>
    <row r="81" ht="20" customHeight="1">
      <c r="A81" s="76" t="n"/>
      <c r="B81" s="76" t="n"/>
      <c r="C81" s="76" t="n"/>
      <c r="D81" s="76" t="n"/>
      <c r="E81" s="74" t="inlineStr">
        <is>
          <t>imm = 0 → dest unchanged  [corner]</t>
        </is>
      </c>
      <c r="F81" s="75" t="inlineStr">
        <is>
          <t>Medium</t>
        </is>
      </c>
      <c r="G81" s="75" t="inlineStr">
        <is>
          <t>X</t>
        </is>
      </c>
      <c r="H81" s="75" t="inlineStr">
        <is>
          <t>X</t>
        </is>
      </c>
      <c r="I81" t="inlineStr">
        <is>
          <t>INC</t>
        </is>
      </c>
    </row>
    <row r="82" ht="20" customHeight="1">
      <c r="A82" s="76" t="n"/>
      <c r="B82" s="76" t="n"/>
      <c r="C82" s="76" t="n"/>
      <c r="D82" s="76" t="n"/>
      <c r="E82" s="74" t="inlineStr">
        <is>
          <t>imm = 255 (max) → dest + 255, NOT dest - 1  [corner]</t>
        </is>
      </c>
      <c r="F82" s="75" t="inlineStr">
        <is>
          <t>High</t>
        </is>
      </c>
      <c r="G82" s="75" t="inlineStr">
        <is>
          <t>X</t>
        </is>
      </c>
      <c r="H82" s="75" t="inlineStr">
        <is>
          <t>X</t>
        </is>
      </c>
      <c r="I82" t="inlineStr">
        <is>
          <t>INC</t>
        </is>
      </c>
    </row>
    <row r="83" ht="20" customHeight="1">
      <c r="A83" s="76" t="n"/>
      <c r="B83" s="76" t="n"/>
      <c r="C83" s="76" t="n"/>
      <c r="D83" s="76" t="n"/>
      <c r="E83" s="74" t="inlineStr">
        <is>
          <t>imm = 128 → +128, NOT -128 (unsigned decode)  [corner]</t>
        </is>
      </c>
      <c r="F83" s="75" t="inlineStr">
        <is>
          <t>High</t>
        </is>
      </c>
      <c r="G83" s="75" t="inlineStr">
        <is>
          <t>X</t>
        </is>
      </c>
      <c r="H83" s="75" t="inlineStr">
        <is>
          <t>X</t>
        </is>
      </c>
      <c r="I83" t="inlineStr">
        <is>
          <t>INC</t>
        </is>
      </c>
    </row>
    <row r="84" ht="33" customHeight="1">
      <c r="A84" s="77" t="n"/>
      <c r="B84" s="77" t="n"/>
      <c r="C84" s="77" t="n"/>
      <c r="D84" s="77" t="n"/>
      <c r="E84" s="74" t="inlineStr">
        <is>
          <t>imm = 127 / 128 (sign-bit boundary of the shared field)  [corner]</t>
        </is>
      </c>
      <c r="F84" s="75" t="inlineStr">
        <is>
          <t>Medium</t>
        </is>
      </c>
      <c r="G84" s="75" t="inlineStr">
        <is>
          <t>X</t>
        </is>
      </c>
      <c r="H84" s="75" t="inlineStr">
        <is>
          <t>X</t>
        </is>
      </c>
      <c r="I84" t="inlineStr">
        <is>
          <t>INC</t>
        </is>
      </c>
    </row>
    <row r="85" ht="20" customHeight="1">
      <c r="A85" s="68" t="inlineStr">
        <is>
          <t>INC-02</t>
        </is>
      </c>
      <c r="B85" s="69" t="inlineStr">
        <is>
          <t>LR op: INC</t>
        </is>
      </c>
      <c r="C85" s="70" t="inlineStr">
        <is>
          <t>The module shall wrap modulo 2^32 and propagate carries when INC is issued.</t>
        </is>
      </c>
      <c r="D85" s="70" t="n"/>
      <c r="E85" s="70" t="inlineStr">
        <is>
          <t>dest = 0xFFFFFFFF, imm = 1 → 0  [corner]</t>
        </is>
      </c>
      <c r="F85" s="71" t="inlineStr">
        <is>
          <t>High</t>
        </is>
      </c>
      <c r="G85" s="71" t="inlineStr">
        <is>
          <t>X</t>
        </is>
      </c>
      <c r="H85" s="71" t="inlineStr">
        <is>
          <t>X</t>
        </is>
      </c>
      <c r="I85" t="inlineStr">
        <is>
          <t>INC</t>
        </is>
      </c>
    </row>
    <row r="86" ht="20" customHeight="1">
      <c r="A86" s="76" t="n"/>
      <c r="B86" s="76" t="n"/>
      <c r="C86" s="76" t="n"/>
      <c r="D86" s="76" t="n"/>
      <c r="E86" s="70" t="inlineStr">
        <is>
          <t>dest = 0xFFFFFFFF, imm = 255 → 254  [corner]</t>
        </is>
      </c>
      <c r="F86" s="71" t="inlineStr">
        <is>
          <t>High</t>
        </is>
      </c>
      <c r="G86" s="71" t="inlineStr">
        <is>
          <t>X</t>
        </is>
      </c>
      <c r="H86" s="71" t="inlineStr">
        <is>
          <t>X</t>
        </is>
      </c>
      <c r="I86" t="inlineStr">
        <is>
          <t>INC</t>
        </is>
      </c>
    </row>
    <row r="87" ht="20" customHeight="1">
      <c r="A87" s="76" t="n"/>
      <c r="B87" s="76" t="n"/>
      <c r="C87" s="76" t="n"/>
      <c r="D87" s="76" t="n"/>
      <c r="E87" s="70" t="inlineStr">
        <is>
          <t>dest = 0x7FFFFFFF, imm = 1 → 0x80000000  [corner]</t>
        </is>
      </c>
      <c r="F87" s="71" t="inlineStr">
        <is>
          <t>Medium</t>
        </is>
      </c>
      <c r="G87" s="71" t="inlineStr">
        <is>
          <t>X</t>
        </is>
      </c>
      <c r="H87" s="71" t="inlineStr">
        <is>
          <t>X</t>
        </is>
      </c>
      <c r="I87" t="inlineStr">
        <is>
          <t>INC</t>
        </is>
      </c>
    </row>
    <row r="88" ht="33" customHeight="1">
      <c r="A88" s="77" t="n"/>
      <c r="B88" s="77" t="n"/>
      <c r="C88" s="77" t="n"/>
      <c r="D88" s="77" t="n"/>
      <c r="E88" s="70" t="inlineStr">
        <is>
          <t>Carry across byte / 16-bit boundaries (0xFF+1, 0xFFFF+1)  [corner]</t>
        </is>
      </c>
      <c r="F88" s="71" t="inlineStr">
        <is>
          <t>Medium</t>
        </is>
      </c>
      <c r="G88" s="71" t="inlineStr">
        <is>
          <t>X</t>
        </is>
      </c>
      <c r="H88" s="71" t="inlineStr">
        <is>
          <t>X</t>
        </is>
      </c>
      <c r="I88" t="inlineStr">
        <is>
          <t>INC</t>
        </is>
      </c>
    </row>
    <row r="89" ht="20" customHeight="1">
      <c r="A89" s="72" t="inlineStr">
        <is>
          <t>INC-03</t>
        </is>
      </c>
      <c r="B89" s="73" t="inlineStr">
        <is>
          <t>LR op: INC</t>
        </is>
      </c>
      <c r="C89" s="74" t="inlineStr">
        <is>
          <t>The module shall count correctly when INC is issued repeatedly on the same LR in consecutive words.</t>
        </is>
      </c>
      <c r="D89" s="74" t="inlineStr">
        <is>
          <t>Read-modify-write RAW at distance 1 (see TIM).</t>
        </is>
      </c>
      <c r="E89" s="74" t="inlineStr">
        <is>
          <t>100 consecutive INC LRx 1 → LRx = start + 100  [standard]</t>
        </is>
      </c>
      <c r="F89" s="75" t="inlineStr">
        <is>
          <t>High</t>
        </is>
      </c>
      <c r="G89" s="75" t="inlineStr">
        <is>
          <t>X</t>
        </is>
      </c>
      <c r="H89" s="75" t="inlineStr">
        <is>
          <t>X</t>
        </is>
      </c>
      <c r="I89" t="inlineStr">
        <is>
          <t>INC</t>
        </is>
      </c>
    </row>
    <row r="90" ht="20" customHeight="1">
      <c r="A90" s="76" t="n"/>
      <c r="B90" s="76" t="n"/>
      <c r="C90" s="76" t="n"/>
      <c r="D90" s="76" t="n"/>
      <c r="E90" s="74" t="inlineStr">
        <is>
          <t>INC on every LR0..LR15, one per word  [standard]</t>
        </is>
      </c>
      <c r="F90" s="75" t="inlineStr">
        <is>
          <t>Medium</t>
        </is>
      </c>
      <c r="G90" s="75" t="inlineStr">
        <is>
          <t>X</t>
        </is>
      </c>
      <c r="H90" s="75" t="inlineStr">
        <is>
          <t>X</t>
        </is>
      </c>
      <c r="I90" t="inlineStr">
        <is>
          <t>INC</t>
        </is>
      </c>
    </row>
    <row r="91" ht="20" customHeight="1">
      <c r="A91" s="77" t="n"/>
      <c r="B91" s="77" t="n"/>
      <c r="C91" s="77" t="n"/>
      <c r="D91" s="77" t="n"/>
      <c r="E91" s="74" t="inlineStr">
        <is>
          <t>INC LRx 255 repeated across the 32-bit wrap  [corner]</t>
        </is>
      </c>
      <c r="F91" s="75" t="inlineStr">
        <is>
          <t>Low</t>
        </is>
      </c>
      <c r="G91" s="75" t="inlineStr">
        <is>
          <t>X</t>
        </is>
      </c>
      <c r="H91" s="75" t="inlineStr">
        <is>
          <t>X</t>
        </is>
      </c>
      <c r="I91" t="inlineStr">
        <is>
          <t>INC</t>
        </is>
      </c>
    </row>
    <row r="92" ht="20" customHeight="1">
      <c r="A92" s="68" t="inlineStr">
        <is>
          <t>DEC-01</t>
        </is>
      </c>
      <c r="B92" s="69" t="inlineStr">
        <is>
          <t>LR op: DEC</t>
        </is>
      </c>
      <c r="C92" s="70" t="inlineStr">
        <is>
          <t>The module shall write (dest - imm)[31:0] into dest when DEC is issued.</t>
        </is>
      </c>
      <c r="D92" s="70" t="inlineStr">
        <is>
          <t>imm is UNSIGNED, 8 bits.</t>
        </is>
      </c>
      <c r="E92" s="70" t="inlineStr">
        <is>
          <t>imm = 1..254 various  [standard]</t>
        </is>
      </c>
      <c r="F92" s="71" t="inlineStr">
        <is>
          <t>High</t>
        </is>
      </c>
      <c r="G92" s="71" t="inlineStr">
        <is>
          <t>X</t>
        </is>
      </c>
      <c r="H92" s="71" t="inlineStr">
        <is>
          <t>X</t>
        </is>
      </c>
      <c r="I92" t="inlineStr">
        <is>
          <t>DEC</t>
        </is>
      </c>
    </row>
    <row r="93" ht="20" customHeight="1">
      <c r="A93" s="76" t="n"/>
      <c r="B93" s="76" t="n"/>
      <c r="C93" s="76" t="n"/>
      <c r="D93" s="76" t="n"/>
      <c r="E93" s="70" t="inlineStr">
        <is>
          <t>imm = 0 → unchanged  [corner]</t>
        </is>
      </c>
      <c r="F93" s="71" t="inlineStr">
        <is>
          <t>Medium</t>
        </is>
      </c>
      <c r="G93" s="71" t="inlineStr">
        <is>
          <t>X</t>
        </is>
      </c>
      <c r="H93" s="71" t="inlineStr">
        <is>
          <t>X</t>
        </is>
      </c>
      <c r="I93" t="inlineStr">
        <is>
          <t>DEC</t>
        </is>
      </c>
    </row>
    <row r="94" ht="20" customHeight="1">
      <c r="A94" s="76" t="n"/>
      <c r="B94" s="76" t="n"/>
      <c r="C94" s="76" t="n"/>
      <c r="D94" s="76" t="n"/>
      <c r="E94" s="70" t="inlineStr">
        <is>
          <t>imm = 255 → dest - 255, NOT dest + 1  [corner]</t>
        </is>
      </c>
      <c r="F94" s="71" t="inlineStr">
        <is>
          <t>High</t>
        </is>
      </c>
      <c r="G94" s="71" t="inlineStr">
        <is>
          <t>X</t>
        </is>
      </c>
      <c r="H94" s="71" t="inlineStr">
        <is>
          <t>X</t>
        </is>
      </c>
      <c r="I94" t="inlineStr">
        <is>
          <t>DEC</t>
        </is>
      </c>
    </row>
    <row r="95" ht="20" customHeight="1">
      <c r="A95" s="77" t="n"/>
      <c r="B95" s="77" t="n"/>
      <c r="C95" s="77" t="n"/>
      <c r="D95" s="77" t="n"/>
      <c r="E95" s="70" t="inlineStr">
        <is>
          <t>imm = 128 → -128 magnitude (unsigned decode)  [corner]</t>
        </is>
      </c>
      <c r="F95" s="71" t="inlineStr">
        <is>
          <t>High</t>
        </is>
      </c>
      <c r="G95" s="71" t="inlineStr">
        <is>
          <t>X</t>
        </is>
      </c>
      <c r="H95" s="71" t="inlineStr">
        <is>
          <t>X</t>
        </is>
      </c>
      <c r="I95" t="inlineStr">
        <is>
          <t>DEC</t>
        </is>
      </c>
    </row>
    <row r="96" ht="20" customHeight="1">
      <c r="A96" s="72" t="inlineStr">
        <is>
          <t>DEC-02</t>
        </is>
      </c>
      <c r="B96" s="73" t="inlineStr">
        <is>
          <t>LR op: DEC</t>
        </is>
      </c>
      <c r="C96" s="74" t="inlineStr">
        <is>
          <t>The module shall wrap modulo 2^32 when DEC is issued.</t>
        </is>
      </c>
      <c r="D96" s="74" t="n"/>
      <c r="E96" s="74" t="inlineStr">
        <is>
          <t>dest = 0, imm = 1 → 0xFFFFFFFF  [corner]</t>
        </is>
      </c>
      <c r="F96" s="75" t="inlineStr">
        <is>
          <t>High</t>
        </is>
      </c>
      <c r="G96" s="75" t="inlineStr">
        <is>
          <t>X</t>
        </is>
      </c>
      <c r="H96" s="75" t="inlineStr">
        <is>
          <t>X</t>
        </is>
      </c>
      <c r="I96" t="inlineStr">
        <is>
          <t>DEC</t>
        </is>
      </c>
    </row>
    <row r="97" ht="20" customHeight="1">
      <c r="A97" s="76" t="n"/>
      <c r="B97" s="76" t="n"/>
      <c r="C97" s="76" t="n"/>
      <c r="D97" s="76" t="n"/>
      <c r="E97" s="74" t="inlineStr">
        <is>
          <t>dest = imm → 0  [corner]</t>
        </is>
      </c>
      <c r="F97" s="75" t="inlineStr">
        <is>
          <t>High</t>
        </is>
      </c>
      <c r="G97" s="75" t="inlineStr">
        <is>
          <t>X</t>
        </is>
      </c>
      <c r="H97" s="75" t="inlineStr">
        <is>
          <t>X</t>
        </is>
      </c>
      <c r="I97" t="inlineStr">
        <is>
          <t>DEC</t>
        </is>
      </c>
    </row>
    <row r="98" ht="20" customHeight="1">
      <c r="A98" s="76" t="n"/>
      <c r="B98" s="76" t="n"/>
      <c r="C98" s="76" t="n"/>
      <c r="D98" s="76" t="n"/>
      <c r="E98" s="74" t="inlineStr">
        <is>
          <t>dest = imm - 1 → 0xFFFFFFFF (one below zero)  [corner]</t>
        </is>
      </c>
      <c r="F98" s="75" t="inlineStr">
        <is>
          <t>High</t>
        </is>
      </c>
      <c r="G98" s="75" t="inlineStr">
        <is>
          <t>X</t>
        </is>
      </c>
      <c r="H98" s="75" t="inlineStr">
        <is>
          <t>X</t>
        </is>
      </c>
      <c r="I98" t="inlineStr">
        <is>
          <t>DEC</t>
        </is>
      </c>
    </row>
    <row r="99" ht="20" customHeight="1">
      <c r="A99" s="77" t="n"/>
      <c r="B99" s="77" t="n"/>
      <c r="C99" s="77" t="n"/>
      <c r="D99" s="77" t="n"/>
      <c r="E99" s="74" t="inlineStr">
        <is>
          <t>dest = 0x80000000, imm = 1 → 0x7FFFFFFF  [corner]</t>
        </is>
      </c>
      <c r="F99" s="75" t="inlineStr">
        <is>
          <t>Medium</t>
        </is>
      </c>
      <c r="G99" s="75" t="inlineStr">
        <is>
          <t>X</t>
        </is>
      </c>
      <c r="H99" s="75" t="inlineStr">
        <is>
          <t>X</t>
        </is>
      </c>
      <c r="I99" t="inlineStr">
        <is>
          <t>DEC</t>
        </is>
      </c>
    </row>
    <row r="100" ht="20" customHeight="1">
      <c r="A100" s="68" t="inlineStr">
        <is>
          <t>DEC-03</t>
        </is>
      </c>
      <c r="B100" s="69" t="inlineStr">
        <is>
          <t>LR op: DEC</t>
        </is>
      </c>
      <c r="C100" s="70" t="inlineStr">
        <is>
          <t>The module shall count down correctly when DEC is issued repeatedly (loop counter).</t>
        </is>
      </c>
      <c r="D100" s="70" t="inlineStr">
        <is>
          <t>Typical loop: DEC LRx 1 ; BNE LRx CR0 loop.</t>
        </is>
      </c>
      <c r="E100" s="70" t="inlineStr">
        <is>
          <t>N consecutive DEC LRx 1 → LRx = start - N  [standard]</t>
        </is>
      </c>
      <c r="F100" s="71" t="inlineStr">
        <is>
          <t>High</t>
        </is>
      </c>
      <c r="G100" s="71" t="inlineStr">
        <is>
          <t>X</t>
        </is>
      </c>
      <c r="H100" s="71" t="inlineStr">
        <is>
          <t>X</t>
        </is>
      </c>
      <c r="I100" t="inlineStr">
        <is>
          <t>DEC</t>
        </is>
      </c>
    </row>
    <row r="101" ht="20" customHeight="1">
      <c r="A101" s="77" t="n"/>
      <c r="B101" s="77" t="n"/>
      <c r="C101" s="77" t="n"/>
      <c r="D101" s="77" t="n"/>
      <c r="E101" s="70" t="inlineStr">
        <is>
          <t>DEC down to exactly 0 and one step past it  [corner]</t>
        </is>
      </c>
      <c r="F101" s="71" t="inlineStr">
        <is>
          <t>High</t>
        </is>
      </c>
      <c r="G101" s="71" t="inlineStr">
        <is>
          <t>X</t>
        </is>
      </c>
      <c r="H101" s="71" t="inlineStr">
        <is>
          <t>X</t>
        </is>
      </c>
      <c r="I101" t="inlineStr">
        <is>
          <t>DEC</t>
        </is>
      </c>
    </row>
    <row r="102" ht="33" customHeight="1">
      <c r="A102" s="72" t="inlineStr">
        <is>
          <t>ADB-01</t>
        </is>
      </c>
      <c r="B102" s="73" t="inlineStr">
        <is>
          <t>LR op: ADDB</t>
        </is>
      </c>
      <c r="C102" s="74" t="inlineStr">
        <is>
          <t>The module shall add the signed byte src_b[7:0] to each of the 8 byte elements of LRDn when ADDB is issued.</t>
        </is>
      </c>
      <c r="D102" s="74" t="inlineStr">
        <is>
          <t>LRDn = LR(n+1):LR(n). Element i = byte i of the 64-bit pair. Byte ordering inside the pair must be confirmed (Spec Questions Q10).</t>
        </is>
      </c>
      <c r="E102" s="74" t="inlineStr">
        <is>
          <t>Eight distinct byte values, mid-range val &gt; 0 and val &lt; 0  [standard]</t>
        </is>
      </c>
      <c r="F102" s="75" t="inlineStr">
        <is>
          <t>High</t>
        </is>
      </c>
      <c r="G102" s="75" t="inlineStr">
        <is>
          <t>X</t>
        </is>
      </c>
      <c r="H102" s="75" t="inlineStr">
        <is>
          <t>X</t>
        </is>
      </c>
      <c r="I102" t="inlineStr">
        <is>
          <t>ADB</t>
        </is>
      </c>
    </row>
    <row r="103" ht="20" customHeight="1">
      <c r="A103" s="76" t="n"/>
      <c r="B103" s="76" t="n"/>
      <c r="C103" s="76" t="n"/>
      <c r="D103" s="76" t="n"/>
      <c r="E103" s="74" t="inlineStr">
        <is>
          <t>val = 0 → pair unchanged  [corner]</t>
        </is>
      </c>
      <c r="F103" s="75" t="inlineStr">
        <is>
          <t>Medium</t>
        </is>
      </c>
      <c r="G103" s="75" t="inlineStr">
        <is>
          <t>X</t>
        </is>
      </c>
      <c r="H103" s="75" t="inlineStr">
        <is>
          <t>X</t>
        </is>
      </c>
      <c r="I103" t="inlineStr">
        <is>
          <t>ADB</t>
        </is>
      </c>
    </row>
    <row r="104" ht="33" customHeight="1">
      <c r="A104" s="76" t="n"/>
      <c r="B104" s="76" t="n"/>
      <c r="C104" s="76" t="n"/>
      <c r="D104" s="76" t="n"/>
      <c r="E104" s="74" t="inlineStr">
        <is>
          <t>Byte ordering: byte 0..3 in LR(n), 4..7 in LR(n+1) – each byte lane independent, no carry between bytes  [corner]</t>
        </is>
      </c>
      <c r="F104" s="75" t="inlineStr">
        <is>
          <t>High</t>
        </is>
      </c>
      <c r="G104" s="75" t="inlineStr">
        <is>
          <t>X</t>
        </is>
      </c>
      <c r="H104" s="75" t="inlineStr">
        <is>
          <t>X</t>
        </is>
      </c>
      <c r="I104" t="inlineStr">
        <is>
          <t>ADB</t>
        </is>
      </c>
    </row>
    <row r="105" ht="33" customHeight="1">
      <c r="A105" s="77" t="n"/>
      <c r="B105" s="77" t="n"/>
      <c r="C105" s="77" t="n"/>
      <c r="D105" s="77" t="n"/>
      <c r="E105" s="74" t="inlineStr">
        <is>
          <t>Carry-prone bytes (0xFF + 1 must NOT carry into the next byte)  [corner]</t>
        </is>
      </c>
      <c r="F105" s="75" t="inlineStr">
        <is>
          <t>High</t>
        </is>
      </c>
      <c r="G105" s="75" t="inlineStr">
        <is>
          <t>X</t>
        </is>
      </c>
      <c r="H105" s="75" t="inlineStr">
        <is>
          <t>X</t>
        </is>
      </c>
      <c r="I105" t="inlineStr">
        <is>
          <t>ADB</t>
        </is>
      </c>
    </row>
    <row r="106" ht="20" customHeight="1">
      <c r="A106" s="68" t="inlineStr">
        <is>
          <t>ADB-02</t>
        </is>
      </c>
      <c r="B106" s="69" t="inlineStr">
        <is>
          <t>LR op: ADDB</t>
        </is>
      </c>
      <c r="C106" s="70" t="inlineStr">
        <is>
          <t>The module shall saturate each byte at 255 (no wrap) when the sum exceeds 255.</t>
        </is>
      </c>
      <c r="D106" s="70" t="inlineStr">
        <is>
          <t>clamp(x, 0, 255) per byte.</t>
        </is>
      </c>
      <c r="E106" s="70" t="inlineStr">
        <is>
          <t>byte = 255, val = +1 → 255  [corner]</t>
        </is>
      </c>
      <c r="F106" s="71" t="inlineStr">
        <is>
          <t>High</t>
        </is>
      </c>
      <c r="G106" s="71" t="inlineStr">
        <is>
          <t>X</t>
        </is>
      </c>
      <c r="H106" s="71" t="inlineStr">
        <is>
          <t>X</t>
        </is>
      </c>
      <c r="I106" t="inlineStr">
        <is>
          <t>ADB</t>
        </is>
      </c>
    </row>
    <row r="107" ht="20" customHeight="1">
      <c r="A107" s="76" t="n"/>
      <c r="B107" s="76" t="n"/>
      <c r="C107" s="76" t="n"/>
      <c r="D107" s="76" t="n"/>
      <c r="E107" s="70" t="inlineStr">
        <is>
          <t>byte = 250, val = +127 → 255  [corner]</t>
        </is>
      </c>
      <c r="F107" s="71" t="inlineStr">
        <is>
          <t>High</t>
        </is>
      </c>
      <c r="G107" s="71" t="inlineStr">
        <is>
          <t>X</t>
        </is>
      </c>
      <c r="H107" s="71" t="inlineStr">
        <is>
          <t>X</t>
        </is>
      </c>
      <c r="I107" t="inlineStr">
        <is>
          <t>ADB</t>
        </is>
      </c>
    </row>
    <row r="108" ht="33" customHeight="1">
      <c r="A108" s="76" t="n"/>
      <c r="B108" s="76" t="n"/>
      <c r="C108" s="76" t="n"/>
      <c r="D108" s="76" t="n"/>
      <c r="E108" s="70" t="inlineStr">
        <is>
          <t>byte = 128, val = +127 → 255 exactly (no clamp needed)  [corner]</t>
        </is>
      </c>
      <c r="F108" s="71" t="inlineStr">
        <is>
          <t>High</t>
        </is>
      </c>
      <c r="G108" s="71" t="inlineStr">
        <is>
          <t>X</t>
        </is>
      </c>
      <c r="H108" s="71" t="inlineStr">
        <is>
          <t>X</t>
        </is>
      </c>
      <c r="I108" t="inlineStr">
        <is>
          <t>ADB</t>
        </is>
      </c>
    </row>
    <row r="109" ht="20" customHeight="1">
      <c r="A109" s="76" t="n"/>
      <c r="B109" s="76" t="n"/>
      <c r="C109" s="76" t="n"/>
      <c r="D109" s="76" t="n"/>
      <c r="E109" s="70" t="inlineStr">
        <is>
          <t>byte = 129, val = +127 → 256 → 255  [corner]</t>
        </is>
      </c>
      <c r="F109" s="71" t="inlineStr">
        <is>
          <t>High</t>
        </is>
      </c>
      <c r="G109" s="71" t="inlineStr">
        <is>
          <t>X</t>
        </is>
      </c>
      <c r="H109" s="71" t="inlineStr">
        <is>
          <t>X</t>
        </is>
      </c>
      <c r="I109" t="inlineStr">
        <is>
          <t>ADB</t>
        </is>
      </c>
    </row>
    <row r="110" ht="20" customHeight="1">
      <c r="A110" s="77" t="n"/>
      <c r="B110" s="77" t="n"/>
      <c r="C110" s="77" t="n"/>
      <c r="D110" s="77" t="n"/>
      <c r="E110" s="70" t="inlineStr">
        <is>
          <t>All 8 bytes saturate in the same op  [corner]</t>
        </is>
      </c>
      <c r="F110" s="71" t="inlineStr">
        <is>
          <t>Medium</t>
        </is>
      </c>
      <c r="G110" s="71" t="inlineStr">
        <is>
          <t>X</t>
        </is>
      </c>
      <c r="H110" s="71" t="inlineStr">
        <is>
          <t>X</t>
        </is>
      </c>
      <c r="I110" t="inlineStr">
        <is>
          <t>ADB</t>
        </is>
      </c>
    </row>
    <row r="111" ht="20" customHeight="1">
      <c r="A111" s="72" t="inlineStr">
        <is>
          <t>ADB-03</t>
        </is>
      </c>
      <c r="B111" s="73" t="inlineStr">
        <is>
          <t>LR op: ADDB</t>
        </is>
      </c>
      <c r="C111" s="74" t="inlineStr">
        <is>
          <t>The module shall saturate each byte at 0 (no wrap) when the sum is negative.</t>
        </is>
      </c>
      <c r="D111" s="74" t="n"/>
      <c r="E111" s="74" t="inlineStr">
        <is>
          <t>byte = 0, val = -1 → 0  [corner]</t>
        </is>
      </c>
      <c r="F111" s="75" t="inlineStr">
        <is>
          <t>High</t>
        </is>
      </c>
      <c r="G111" s="75" t="inlineStr">
        <is>
          <t>X</t>
        </is>
      </c>
      <c r="H111" s="75" t="inlineStr">
        <is>
          <t>X</t>
        </is>
      </c>
      <c r="I111" t="inlineStr">
        <is>
          <t>ADB</t>
        </is>
      </c>
    </row>
    <row r="112" ht="20" customHeight="1">
      <c r="A112" s="76" t="n"/>
      <c r="B112" s="76" t="n"/>
      <c r="C112" s="76" t="n"/>
      <c r="D112" s="76" t="n"/>
      <c r="E112" s="74" t="inlineStr">
        <is>
          <t>byte = 5, val = -128 → 0  [corner]</t>
        </is>
      </c>
      <c r="F112" s="75" t="inlineStr">
        <is>
          <t>High</t>
        </is>
      </c>
      <c r="G112" s="75" t="inlineStr">
        <is>
          <t>X</t>
        </is>
      </c>
      <c r="H112" s="75" t="inlineStr">
        <is>
          <t>X</t>
        </is>
      </c>
      <c r="I112" t="inlineStr">
        <is>
          <t>ADB</t>
        </is>
      </c>
    </row>
    <row r="113" ht="20" customHeight="1">
      <c r="A113" s="76" t="n"/>
      <c r="B113" s="76" t="n"/>
      <c r="C113" s="76" t="n"/>
      <c r="D113" s="76" t="n"/>
      <c r="E113" s="74" t="inlineStr">
        <is>
          <t>byte = 128, val = -128 → 0 exactly  [corner]</t>
        </is>
      </c>
      <c r="F113" s="75" t="inlineStr">
        <is>
          <t>High</t>
        </is>
      </c>
      <c r="G113" s="75" t="inlineStr">
        <is>
          <t>X</t>
        </is>
      </c>
      <c r="H113" s="75" t="inlineStr">
        <is>
          <t>X</t>
        </is>
      </c>
      <c r="I113" t="inlineStr">
        <is>
          <t>ADB</t>
        </is>
      </c>
    </row>
    <row r="114" ht="20" customHeight="1">
      <c r="A114" s="76" t="n"/>
      <c r="B114" s="76" t="n"/>
      <c r="C114" s="76" t="n"/>
      <c r="D114" s="76" t="n"/>
      <c r="E114" s="74" t="inlineStr">
        <is>
          <t>byte = 127, val = -128 → -1 → 0  [corner]</t>
        </is>
      </c>
      <c r="F114" s="75" t="inlineStr">
        <is>
          <t>High</t>
        </is>
      </c>
      <c r="G114" s="75" t="inlineStr">
        <is>
          <t>X</t>
        </is>
      </c>
      <c r="H114" s="75" t="inlineStr">
        <is>
          <t>X</t>
        </is>
      </c>
      <c r="I114" t="inlineStr">
        <is>
          <t>ADB</t>
        </is>
      </c>
    </row>
    <row r="115" ht="20" customHeight="1">
      <c r="A115" s="76" t="n"/>
      <c r="B115" s="76" t="n"/>
      <c r="C115" s="76" t="n"/>
      <c r="D115" s="76" t="n"/>
      <c r="E115" s="74" t="inlineStr">
        <is>
          <t>byte = 255, val = -128 → 127  [corner]</t>
        </is>
      </c>
      <c r="F115" s="75" t="inlineStr">
        <is>
          <t>Medium</t>
        </is>
      </c>
      <c r="G115" s="75" t="inlineStr">
        <is>
          <t>X</t>
        </is>
      </c>
      <c r="H115" s="75" t="inlineStr">
        <is>
          <t>X</t>
        </is>
      </c>
      <c r="I115" t="inlineStr">
        <is>
          <t>ADB</t>
        </is>
      </c>
    </row>
    <row r="116" ht="20" customHeight="1">
      <c r="A116" s="77" t="n"/>
      <c r="B116" s="77" t="n"/>
      <c r="C116" s="77" t="n"/>
      <c r="D116" s="77" t="n"/>
      <c r="E116" s="74" t="inlineStr">
        <is>
          <t>All 8 bytes saturate low in the same op  [corner]</t>
        </is>
      </c>
      <c r="F116" s="75" t="inlineStr">
        <is>
          <t>Medium</t>
        </is>
      </c>
      <c r="G116" s="75" t="inlineStr">
        <is>
          <t>X</t>
        </is>
      </c>
      <c r="H116" s="75" t="inlineStr">
        <is>
          <t>X</t>
        </is>
      </c>
      <c r="I116" t="inlineStr">
        <is>
          <t>ADB</t>
        </is>
      </c>
    </row>
    <row r="117" ht="33" customHeight="1">
      <c r="A117" s="68" t="inlineStr">
        <is>
          <t>ADB-04</t>
        </is>
      </c>
      <c r="B117" s="69" t="inlineStr">
        <is>
          <t>LR op: ADDB</t>
        </is>
      </c>
      <c r="C117" s="70" t="inlineStr">
        <is>
          <t>The module shall saturate each byte independently when only some bytes overflow in the same op.</t>
        </is>
      </c>
      <c r="D117" s="70" t="n"/>
      <c r="E117" s="70" t="inlineStr">
        <is>
          <t>Mixed pair: bytes at 0, 1, 127, 128, 254, 255 with val = +1 / -1 / +127 / -128  [corner]</t>
        </is>
      </c>
      <c r="F117" s="71" t="inlineStr">
        <is>
          <t>High</t>
        </is>
      </c>
      <c r="G117" s="71" t="inlineStr">
        <is>
          <t>X</t>
        </is>
      </c>
      <c r="H117" s="71" t="inlineStr">
        <is>
          <t>X</t>
        </is>
      </c>
      <c r="I117" t="inlineStr">
        <is>
          <t>ADB</t>
        </is>
      </c>
    </row>
    <row r="118" ht="33" customHeight="1">
      <c r="A118" s="77" t="n"/>
      <c r="B118" s="77" t="n"/>
      <c r="C118" s="77" t="n"/>
      <c r="D118" s="77" t="n"/>
      <c r="E118" s="70" t="inlineStr">
        <is>
          <t>Saturating byte next to a non-saturating byte (no cross-byte influence)  [corner]</t>
        </is>
      </c>
      <c r="F118" s="71" t="inlineStr">
        <is>
          <t>High</t>
        </is>
      </c>
      <c r="G118" s="71" t="inlineStr">
        <is>
          <t>X</t>
        </is>
      </c>
      <c r="H118" s="71" t="inlineStr">
        <is>
          <t>X</t>
        </is>
      </c>
      <c r="I118" t="inlineStr">
        <is>
          <t>ADB</t>
        </is>
      </c>
    </row>
    <row r="119" ht="33" customHeight="1">
      <c r="A119" s="72" t="inlineStr">
        <is>
          <t>ADB-05</t>
        </is>
      </c>
      <c r="B119" s="73" t="inlineStr">
        <is>
          <t>LR op: ADDB</t>
        </is>
      </c>
      <c r="C119" s="74" t="inlineStr">
        <is>
          <t>The module shall use only the low byte of src_b, interpreted as signed int8, when ADDB is issued.</t>
        </is>
      </c>
      <c r="D119" s="74" t="inlineStr">
        <is>
          <t>src_b = LR or CR (LcrIdx).</t>
        </is>
      </c>
      <c r="E119" s="74" t="inlineStr">
        <is>
          <t>src_b = 0x0000007F (+127), 0x00000080 (-128), 0x000000FF (-1), 0x00000000  [corner]</t>
        </is>
      </c>
      <c r="F119" s="75" t="inlineStr">
        <is>
          <t>High</t>
        </is>
      </c>
      <c r="G119" s="75" t="inlineStr">
        <is>
          <t>X</t>
        </is>
      </c>
      <c r="H119" s="75" t="inlineStr">
        <is>
          <t>X</t>
        </is>
      </c>
      <c r="I119" t="inlineStr">
        <is>
          <t>ADB</t>
        </is>
      </c>
    </row>
    <row r="120" ht="33" customHeight="1">
      <c r="A120" s="76" t="n"/>
      <c r="B120" s="76" t="n"/>
      <c r="C120" s="76" t="n"/>
      <c r="D120" s="76" t="n"/>
      <c r="E120" s="74" t="inlineStr">
        <is>
          <t>src_b with non-zero upper bits (0xDEADBE01, 0x00000180 → low byte 0x80) → upper 24 bits ignored  [corner]</t>
        </is>
      </c>
      <c r="F120" s="75" t="inlineStr">
        <is>
          <t>High</t>
        </is>
      </c>
      <c r="G120" s="75" t="inlineStr">
        <is>
          <t>X</t>
        </is>
      </c>
      <c r="H120" s="75" t="inlineStr">
        <is>
          <t>X</t>
        </is>
      </c>
      <c r="I120" t="inlineStr">
        <is>
          <t>ADB</t>
        </is>
      </c>
    </row>
    <row r="121" ht="20" customHeight="1">
      <c r="A121" s="76" t="n"/>
      <c r="B121" s="76" t="n"/>
      <c r="C121" s="76" t="n"/>
      <c r="D121" s="76" t="n"/>
      <c r="E121" s="74" t="inlineStr">
        <is>
          <t>src_b = CR0 (0), CR1 (+1)  [corner]</t>
        </is>
      </c>
      <c r="F121" s="75" t="inlineStr">
        <is>
          <t>Medium</t>
        </is>
      </c>
      <c r="G121" s="75" t="inlineStr">
        <is>
          <t>X</t>
        </is>
      </c>
      <c r="H121" s="75" t="inlineStr">
        <is>
          <t>X</t>
        </is>
      </c>
      <c r="I121" t="inlineStr">
        <is>
          <t>ADB</t>
        </is>
      </c>
    </row>
    <row r="122" ht="20" customHeight="1">
      <c r="A122" s="77" t="n"/>
      <c r="B122" s="77" t="n"/>
      <c r="C122" s="77" t="n"/>
      <c r="D122" s="77" t="n"/>
      <c r="E122" s="74" t="inlineStr">
        <is>
          <t>src_b = LR vs CR with the same index  [corner]</t>
        </is>
      </c>
      <c r="F122" s="75" t="inlineStr">
        <is>
          <t>Medium</t>
        </is>
      </c>
      <c r="G122" s="75" t="inlineStr">
        <is>
          <t>X</t>
        </is>
      </c>
      <c r="H122" s="75" t="inlineStr">
        <is>
          <t>X</t>
        </is>
      </c>
      <c r="I122" t="inlineStr">
        <is>
          <t>ADB</t>
        </is>
      </c>
    </row>
    <row r="123" ht="33" customHeight="1">
      <c r="A123" s="68" t="inlineStr">
        <is>
          <t>ADB-06</t>
        </is>
      </c>
      <c r="B123" s="69" t="inlineStr">
        <is>
          <t>LR op: ADDB</t>
        </is>
      </c>
      <c r="C123" s="70" t="inlineStr">
        <is>
          <t>The module shall update exactly LR(n) and LR(n+1) and no other LR when ADDB targets LRDn.</t>
        </is>
      </c>
      <c r="D123" s="70" t="inlineStr">
        <is>
          <t>LRD0, LRD2, …, LRD14.</t>
        </is>
      </c>
      <c r="E123" s="70" t="inlineStr">
        <is>
          <t>Each of the 8 pairs LRD0..LRD14, all other 14 LRs unchanged  [standard]</t>
        </is>
      </c>
      <c r="F123" s="71" t="inlineStr">
        <is>
          <t>High</t>
        </is>
      </c>
      <c r="G123" s="71" t="inlineStr">
        <is>
          <t>X</t>
        </is>
      </c>
      <c r="H123" s="71" t="inlineStr">
        <is>
          <t>X</t>
        </is>
      </c>
      <c r="I123" t="inlineStr">
        <is>
          <t>ADB</t>
        </is>
      </c>
    </row>
    <row r="124" ht="20" customHeight="1">
      <c r="A124" s="76" t="n"/>
      <c r="B124" s="76" t="n"/>
      <c r="C124" s="76" t="n"/>
      <c r="D124" s="76" t="n"/>
      <c r="E124" s="70" t="inlineStr">
        <is>
          <t>LRD0 (lowest pair) and LRD14 (LR15 top boundary)  [corner]</t>
        </is>
      </c>
      <c r="F124" s="71" t="inlineStr">
        <is>
          <t>High</t>
        </is>
      </c>
      <c r="G124" s="71" t="inlineStr">
        <is>
          <t>X</t>
        </is>
      </c>
      <c r="H124" s="71" t="inlineStr">
        <is>
          <t>X</t>
        </is>
      </c>
      <c r="I124" t="inlineStr">
        <is>
          <t>ADB</t>
        </is>
      </c>
    </row>
    <row r="125" ht="33" customHeight="1">
      <c r="A125" s="76" t="n"/>
      <c r="B125" s="76" t="n"/>
      <c r="C125" s="76" t="n"/>
      <c r="D125" s="76" t="n"/>
      <c r="E125" s="70" t="inlineStr">
        <is>
          <t>src_b is a member of the dest pair (ADDB LRD0 LR1) → src_b read before the write  [corner]</t>
        </is>
      </c>
      <c r="F125" s="71" t="inlineStr">
        <is>
          <t>High</t>
        </is>
      </c>
      <c r="G125" s="71" t="inlineStr">
        <is>
          <t>X</t>
        </is>
      </c>
      <c r="H125" s="71" t="inlineStr">
        <is>
          <t>X</t>
        </is>
      </c>
      <c r="I125" t="inlineStr">
        <is>
          <t>ADB</t>
        </is>
      </c>
    </row>
    <row r="126" ht="33" customHeight="1">
      <c r="A126" s="77" t="n"/>
      <c r="B126" s="77" t="n"/>
      <c r="C126" s="77" t="n"/>
      <c r="D126" s="77" t="n"/>
      <c r="E126" s="70" t="inlineStr">
        <is>
          <t>ADDB on a pair whose halves were just written by SET / ADD in the previous word  [corner]</t>
        </is>
      </c>
      <c r="F126" s="71" t="inlineStr">
        <is>
          <t>High</t>
        </is>
      </c>
      <c r="G126" s="71" t="inlineStr">
        <is>
          <t>X</t>
        </is>
      </c>
      <c r="H126" s="71" t="inlineStr">
        <is>
          <t>X</t>
        </is>
      </c>
      <c r="I126" t="inlineStr">
        <is>
          <t>ADB</t>
        </is>
      </c>
    </row>
    <row r="127" ht="20" customHeight="1">
      <c r="A127" s="72" t="inlineStr">
        <is>
          <t>ADI-01</t>
        </is>
      </c>
      <c r="B127" s="73" t="inlineStr">
        <is>
          <t>LR op: ADDBI</t>
        </is>
      </c>
      <c r="C127" s="74" t="inlineStr">
        <is>
          <t>The module shall add the signed immediate byte to each of the 8 byte elements of LRDn when ADDBI is issued.</t>
        </is>
      </c>
      <c r="D127" s="74" t="inlineStr">
        <is>
          <t>imm 8 bit; 0..255 and -128..127 spellings are the same bit pattern.</t>
        </is>
      </c>
      <c r="E127" s="74" t="inlineStr">
        <is>
          <t>Random imm, random pair content  [standard]</t>
        </is>
      </c>
      <c r="F127" s="75" t="inlineStr">
        <is>
          <t>High</t>
        </is>
      </c>
      <c r="G127" s="75" t="inlineStr">
        <is>
          <t>X</t>
        </is>
      </c>
      <c r="H127" s="75" t="inlineStr">
        <is>
          <t>X</t>
        </is>
      </c>
      <c r="I127" t="inlineStr">
        <is>
          <t>ADI</t>
        </is>
      </c>
    </row>
    <row r="128" ht="20" customHeight="1">
      <c r="A128" s="76" t="n"/>
      <c r="B128" s="76" t="n"/>
      <c r="C128" s="76" t="n"/>
      <c r="D128" s="76" t="n"/>
      <c r="E128" s="74" t="inlineStr">
        <is>
          <t>imm = 200 and imm = -56 → identical result  [corner]</t>
        </is>
      </c>
      <c r="F128" s="75" t="inlineStr">
        <is>
          <t>High</t>
        </is>
      </c>
      <c r="G128" s="75" t="inlineStr">
        <is>
          <t>X</t>
        </is>
      </c>
      <c r="H128" s="75" t="inlineStr">
        <is>
          <t>X</t>
        </is>
      </c>
      <c r="I128" t="inlineStr">
        <is>
          <t>ADI</t>
        </is>
      </c>
    </row>
    <row r="129" ht="20" customHeight="1">
      <c r="A129" s="76" t="n"/>
      <c r="B129" s="76" t="n"/>
      <c r="C129" s="76" t="n"/>
      <c r="D129" s="76" t="n"/>
      <c r="E129" s="74" t="inlineStr">
        <is>
          <t>imm = 127 (+127), 128 (-128), 255 (-1), 0  [corner]</t>
        </is>
      </c>
      <c r="F129" s="75" t="inlineStr">
        <is>
          <t>High</t>
        </is>
      </c>
      <c r="G129" s="75" t="inlineStr">
        <is>
          <t>X</t>
        </is>
      </c>
      <c r="H129" s="75" t="inlineStr">
        <is>
          <t>X</t>
        </is>
      </c>
      <c r="I129" t="inlineStr">
        <is>
          <t>ADI</t>
        </is>
      </c>
    </row>
    <row r="130" ht="33" customHeight="1">
      <c r="A130" s="77" t="n"/>
      <c r="B130" s="77" t="n"/>
      <c r="C130" s="77" t="n"/>
      <c r="D130" s="77" t="n"/>
      <c r="E130" s="74" t="inlineStr">
        <is>
          <t>imm decode is SIGNED here, while INC/DEC decode the same field UNSIGNED  [corner]</t>
        </is>
      </c>
      <c r="F130" s="75" t="inlineStr">
        <is>
          <t>High</t>
        </is>
      </c>
      <c r="G130" s="75" t="inlineStr">
        <is>
          <t>X</t>
        </is>
      </c>
      <c r="H130" s="75" t="inlineStr">
        <is>
          <t>X</t>
        </is>
      </c>
      <c r="I130" t="inlineStr">
        <is>
          <t>ADI</t>
        </is>
      </c>
    </row>
    <row r="131" ht="33" customHeight="1">
      <c r="A131" s="68" t="inlineStr">
        <is>
          <t>ADI-02</t>
        </is>
      </c>
      <c r="B131" s="69" t="inlineStr">
        <is>
          <t>LR op: ADDBI</t>
        </is>
      </c>
      <c r="C131" s="70" t="inlineStr">
        <is>
          <t>The module shall saturate every byte to [0,255] without wraparound when ADDBI is issued.</t>
        </is>
      </c>
      <c r="D131" s="70" t="inlineStr">
        <is>
          <t>Same clamp as ADDB.</t>
        </is>
      </c>
      <c r="E131" s="70" t="inlineStr">
        <is>
          <t>byte = 255, imm = +1 → 255; byte = 250, imm = +127 → 255  [corner]</t>
        </is>
      </c>
      <c r="F131" s="71" t="inlineStr">
        <is>
          <t>High</t>
        </is>
      </c>
      <c r="G131" s="71" t="inlineStr">
        <is>
          <t>X</t>
        </is>
      </c>
      <c r="H131" s="71" t="inlineStr">
        <is>
          <t>X</t>
        </is>
      </c>
      <c r="I131" t="inlineStr">
        <is>
          <t>ADI</t>
        </is>
      </c>
    </row>
    <row r="132" ht="20" customHeight="1">
      <c r="A132" s="76" t="n"/>
      <c r="B132" s="76" t="n"/>
      <c r="C132" s="76" t="n"/>
      <c r="D132" s="76" t="n"/>
      <c r="E132" s="70" t="inlineStr">
        <is>
          <t>byte = 0, imm = -1 → 0; byte = 5, imm = -128 → 0  [corner]</t>
        </is>
      </c>
      <c r="F132" s="71" t="inlineStr">
        <is>
          <t>High</t>
        </is>
      </c>
      <c r="G132" s="71" t="inlineStr">
        <is>
          <t>X</t>
        </is>
      </c>
      <c r="H132" s="71" t="inlineStr">
        <is>
          <t>X</t>
        </is>
      </c>
      <c r="I132" t="inlineStr">
        <is>
          <t>ADI</t>
        </is>
      </c>
    </row>
    <row r="133" ht="33" customHeight="1">
      <c r="A133" s="76" t="n"/>
      <c r="B133" s="76" t="n"/>
      <c r="C133" s="76" t="n"/>
      <c r="D133" s="76" t="n"/>
      <c r="E133" s="70" t="inlineStr">
        <is>
          <t>byte = 128, imm = +127 → 255 exactly; byte = 128, imm = -128 → 0 exactly  [corner]</t>
        </is>
      </c>
      <c r="F133" s="71" t="inlineStr">
        <is>
          <t>High</t>
        </is>
      </c>
      <c r="G133" s="71" t="inlineStr">
        <is>
          <t>X</t>
        </is>
      </c>
      <c r="H133" s="71" t="inlineStr">
        <is>
          <t>X</t>
        </is>
      </c>
      <c r="I133" t="inlineStr">
        <is>
          <t>ADI</t>
        </is>
      </c>
    </row>
    <row r="134" ht="33" customHeight="1">
      <c r="A134" s="76" t="n"/>
      <c r="B134" s="76" t="n"/>
      <c r="C134" s="76" t="n"/>
      <c r="D134" s="76" t="n"/>
      <c r="E134" s="70" t="inlineStr">
        <is>
          <t>Mixed bytes saturating and not saturating in the same op  [corner]</t>
        </is>
      </c>
      <c r="F134" s="71" t="inlineStr">
        <is>
          <t>High</t>
        </is>
      </c>
      <c r="G134" s="71" t="inlineStr">
        <is>
          <t>X</t>
        </is>
      </c>
      <c r="H134" s="71" t="inlineStr">
        <is>
          <t>X</t>
        </is>
      </c>
      <c r="I134" t="inlineStr">
        <is>
          <t>ADI</t>
        </is>
      </c>
    </row>
    <row r="135" ht="20" customHeight="1">
      <c r="A135" s="77" t="n"/>
      <c r="B135" s="77" t="n"/>
      <c r="C135" s="77" t="n"/>
      <c r="D135" s="77" t="n"/>
      <c r="E135" s="70" t="inlineStr">
        <is>
          <t>No carry/borrow between neighbouring bytes  [corner]</t>
        </is>
      </c>
      <c r="F135" s="71" t="inlineStr">
        <is>
          <t>High</t>
        </is>
      </c>
      <c r="G135" s="71" t="inlineStr">
        <is>
          <t>X</t>
        </is>
      </c>
      <c r="H135" s="71" t="inlineStr">
        <is>
          <t>X</t>
        </is>
      </c>
      <c r="I135" t="inlineStr">
        <is>
          <t>ADI</t>
        </is>
      </c>
    </row>
    <row r="136" ht="20" customHeight="1">
      <c r="A136" s="72" t="inlineStr">
        <is>
          <t>ADI-03</t>
        </is>
      </c>
      <c r="B136" s="73" t="inlineStr">
        <is>
          <t>LR op: ADDBI</t>
        </is>
      </c>
      <c r="C136" s="74" t="inlineStr">
        <is>
          <t>The module shall update exactly LR(n) and LR(n+1) when ADDBI targets LRDn.</t>
        </is>
      </c>
      <c r="D136" s="74" t="n"/>
      <c r="E136" s="74" t="inlineStr">
        <is>
          <t>All 8 pairs LRD0..LRD14, others unchanged  [standard]</t>
        </is>
      </c>
      <c r="F136" s="75" t="inlineStr">
        <is>
          <t>High</t>
        </is>
      </c>
      <c r="G136" s="75" t="inlineStr">
        <is>
          <t>X</t>
        </is>
      </c>
      <c r="H136" s="75" t="inlineStr">
        <is>
          <t>X</t>
        </is>
      </c>
      <c r="I136" t="inlineStr">
        <is>
          <t>ADI</t>
        </is>
      </c>
    </row>
    <row r="137" ht="20" customHeight="1">
      <c r="A137" s="77" t="n"/>
      <c r="B137" s="77" t="n"/>
      <c r="C137" s="77" t="n"/>
      <c r="D137" s="77" t="n"/>
      <c r="E137" s="74" t="inlineStr">
        <is>
          <t>LRD0 and LRD14 boundary pairs  [corner]</t>
        </is>
      </c>
      <c r="F137" s="75" t="inlineStr">
        <is>
          <t>High</t>
        </is>
      </c>
      <c r="G137" s="75" t="inlineStr">
        <is>
          <t>X</t>
        </is>
      </c>
      <c r="H137" s="75" t="inlineStr">
        <is>
          <t>X</t>
        </is>
      </c>
      <c r="I137" t="inlineStr">
        <is>
          <t>ADI</t>
        </is>
      </c>
    </row>
    <row r="138" ht="46" customHeight="1">
      <c r="A138" s="68" t="inlineStr">
        <is>
          <t>ADI-04</t>
        </is>
      </c>
      <c r="B138" s="69" t="inlineStr">
        <is>
          <t>LR op: ADDBI</t>
        </is>
      </c>
      <c r="C138" s="70" t="inlineStr">
        <is>
          <t>The module shall produce the same result for ADDBI imm and ADDB with a register holding imm in its low byte.</t>
        </is>
      </c>
      <c r="D138" s="70" t="inlineStr">
        <is>
          <t>Cross-check of the two datapaths.</t>
        </is>
      </c>
      <c r="E138" s="70" t="inlineStr">
        <is>
          <t>Same pair content, ADDBI imm vs ADDB reg(imm) for imm = -128, -1, 0, 1, 127  [corner]</t>
        </is>
      </c>
      <c r="F138" s="71" t="inlineStr">
        <is>
          <t>Medium</t>
        </is>
      </c>
      <c r="G138" s="71" t="inlineStr">
        <is>
          <t>X</t>
        </is>
      </c>
      <c r="H138" s="71" t="inlineStr">
        <is>
          <t>X</t>
        </is>
      </c>
      <c r="I138" t="inlineStr">
        <is>
          <t>ADI</t>
        </is>
      </c>
    </row>
    <row r="139" ht="22" customHeight="1">
      <c r="A139" s="66" t="inlineStr">
        <is>
          <t>B. LR SLOT — three lanes, register state and hazards</t>
        </is>
      </c>
      <c r="B139" s="67" t="n"/>
      <c r="C139" s="67" t="n"/>
      <c r="D139" s="67" t="n"/>
      <c r="E139" s="67" t="n"/>
      <c r="F139" s="67" t="n"/>
      <c r="G139" s="67" t="n"/>
      <c r="H139" s="67" t="n"/>
    </row>
    <row r="140" ht="33" customHeight="1">
      <c r="A140" s="68" t="inlineStr">
        <is>
          <t>LAN-01</t>
        </is>
      </c>
      <c r="B140" s="69" t="inlineStr">
        <is>
          <t>LR lanes (x3)</t>
        </is>
      </c>
      <c r="C140" s="70" t="inlineStr">
        <is>
          <t>The module shall execute every LR opcode in each of the three lanes when the lane is used alone.</t>
        </is>
      </c>
      <c r="D140" s="70" t="inlineStr">
        <is>
          <t>Lanes are identical sub-instructions (spec §10.1). Cross: 8 opcodes x 3 lanes.</t>
        </is>
      </c>
      <c r="E140" s="70" t="inlineStr">
        <is>
          <t>Each of the 8 opcodes in lane 0, lane 1, lane 2 with the other lanes NOP  [standard]</t>
        </is>
      </c>
      <c r="F140" s="71" t="inlineStr">
        <is>
          <t>High</t>
        </is>
      </c>
      <c r="G140" s="71" t="inlineStr">
        <is>
          <t>X</t>
        </is>
      </c>
      <c r="H140" s="71" t="inlineStr">
        <is>
          <t>X</t>
        </is>
      </c>
      <c r="I140" t="inlineStr">
        <is>
          <t>LAN</t>
        </is>
      </c>
    </row>
    <row r="141" ht="20" customHeight="1">
      <c r="A141" s="77" t="n"/>
      <c r="B141" s="77" t="n"/>
      <c r="C141" s="77" t="n"/>
      <c r="D141" s="77" t="n"/>
      <c r="E141" s="70" t="inlineStr">
        <is>
          <t>Each opcode with each CR/LR operand type in each lane  [corner]</t>
        </is>
      </c>
      <c r="F141" s="71" t="inlineStr">
        <is>
          <t>Medium</t>
        </is>
      </c>
      <c r="G141" s="71" t="inlineStr">
        <is>
          <t>X</t>
        </is>
      </c>
      <c r="H141" s="71" t="inlineStr">
        <is>
          <t>X</t>
        </is>
      </c>
      <c r="I141" t="inlineStr">
        <is>
          <t>LAN</t>
        </is>
      </c>
    </row>
    <row r="142" ht="20" customHeight="1">
      <c r="A142" s="72" t="inlineStr">
        <is>
          <t>LAN-02</t>
        </is>
      </c>
      <c r="B142" s="73" t="inlineStr">
        <is>
          <t>LR lanes (x3)</t>
        </is>
      </c>
      <c r="C142" s="74" t="inlineStr">
        <is>
          <t>The module shall execute three LR sub-instructions in parallel in one word.</t>
        </is>
      </c>
      <c r="D142" s="74" t="inlineStr">
        <is>
          <t>Distinct destinations.</t>
        </is>
      </c>
      <c r="E142" s="74" t="inlineStr">
        <is>
          <t>Three lanes with the same opcode, distinct dests  [standard]</t>
        </is>
      </c>
      <c r="F142" s="75" t="inlineStr">
        <is>
          <t>High</t>
        </is>
      </c>
      <c r="G142" s="75" t="inlineStr">
        <is>
          <t>X</t>
        </is>
      </c>
      <c r="H142" s="75" t="inlineStr">
        <is>
          <t>X</t>
        </is>
      </c>
      <c r="I142" t="inlineStr">
        <is>
          <t>LAN</t>
        </is>
      </c>
    </row>
    <row r="143" ht="33" customHeight="1">
      <c r="A143" s="76" t="n"/>
      <c r="B143" s="76" t="n"/>
      <c r="C143" s="76" t="n"/>
      <c r="D143" s="76" t="n"/>
      <c r="E143" s="74" t="inlineStr">
        <is>
          <t>Three different opcodes (all permutations of lane order)  [standard]</t>
        </is>
      </c>
      <c r="F143" s="75" t="inlineStr">
        <is>
          <t>High</t>
        </is>
      </c>
      <c r="G143" s="75" t="inlineStr">
        <is>
          <t>X</t>
        </is>
      </c>
      <c r="H143" s="75" t="inlineStr">
        <is>
          <t>X</t>
        </is>
      </c>
      <c r="I143" t="inlineStr">
        <is>
          <t>LAN</t>
        </is>
      </c>
    </row>
    <row r="144" ht="33" customHeight="1">
      <c r="A144" s="76" t="n"/>
      <c r="B144" s="76" t="n"/>
      <c r="C144" s="76" t="n"/>
      <c r="D144" s="76" t="n"/>
      <c r="E144" s="74" t="inlineStr">
        <is>
          <t>Opcode x opcode x opcode cross for the 8 opcodes (512 combos) with distinct dests  [corner]</t>
        </is>
      </c>
      <c r="F144" s="75" t="inlineStr">
        <is>
          <t>Medium</t>
        </is>
      </c>
      <c r="G144" s="75" t="inlineStr">
        <is>
          <t>X</t>
        </is>
      </c>
      <c r="H144" s="75" t="inlineStr">
        <is>
          <t>X</t>
        </is>
      </c>
      <c r="I144" t="inlineStr">
        <is>
          <t>LAN</t>
        </is>
      </c>
    </row>
    <row r="145" ht="33" customHeight="1">
      <c r="A145" s="76" t="n"/>
      <c r="B145" s="76" t="n"/>
      <c r="C145" s="76" t="n"/>
      <c r="D145" s="76" t="n"/>
      <c r="E145" s="74" t="inlineStr">
        <is>
          <t>Three dests adjacent (LR3, LR4, LR5) and far apart (LR0, LR8, LR15)  [corner]</t>
        </is>
      </c>
      <c r="F145" s="75" t="inlineStr">
        <is>
          <t>Medium</t>
        </is>
      </c>
      <c r="G145" s="75" t="inlineStr">
        <is>
          <t>X</t>
        </is>
      </c>
      <c r="H145" s="75" t="inlineStr">
        <is>
          <t>X</t>
        </is>
      </c>
      <c r="I145" t="inlineStr">
        <is>
          <t>LAN</t>
        </is>
      </c>
    </row>
    <row r="146" ht="33" customHeight="1">
      <c r="A146" s="77" t="n"/>
      <c r="B146" s="77" t="n"/>
      <c r="C146" s="77" t="n"/>
      <c r="D146" s="77" t="n"/>
      <c r="E146" s="74" t="inlineStr">
        <is>
          <t>Lanes writing to every LR over a sweep so that all 16 LRs are written from all 3 lanes  [standard]</t>
        </is>
      </c>
      <c r="F146" s="75" t="inlineStr">
        <is>
          <t>Medium</t>
        </is>
      </c>
      <c r="G146" s="75" t="inlineStr">
        <is>
          <t>X</t>
        </is>
      </c>
      <c r="H146" s="75" t="inlineStr">
        <is>
          <t>X</t>
        </is>
      </c>
      <c r="I146" t="inlineStr">
        <is>
          <t>LAN</t>
        </is>
      </c>
    </row>
    <row r="147" ht="33" customHeight="1">
      <c r="A147" s="68" t="inlineStr">
        <is>
          <t>LAN-03</t>
        </is>
      </c>
      <c r="B147" s="69" t="inlineStr">
        <is>
          <t>LR lanes (x3)</t>
        </is>
      </c>
      <c r="C147" s="70" t="inlineStr">
        <is>
          <t>The module shall read all lane source operands from the prior-cycle snapshot, not from another lane's result in the same word.</t>
        </is>
      </c>
      <c r="D147" s="70" t="inlineStr">
        <is>
          <t>Spec §5: an LR write of cycle N is not visible to CTRL's own reads in cycle N.</t>
        </is>
      </c>
      <c r="E147" s="70" t="inlineStr">
        <is>
          <t>Lane 0 writes LRa, lane 1 reads LRa → lane 1 sees the OLD value  [corner]</t>
        </is>
      </c>
      <c r="F147" s="71" t="inlineStr">
        <is>
          <t>High</t>
        </is>
      </c>
      <c r="G147" s="71" t="inlineStr">
        <is>
          <t>X</t>
        </is>
      </c>
      <c r="H147" s="71" t="inlineStr">
        <is>
          <t>X</t>
        </is>
      </c>
      <c r="I147" t="inlineStr">
        <is>
          <t>LAN</t>
        </is>
      </c>
    </row>
    <row r="148" ht="33" customHeight="1">
      <c r="A148" s="76" t="n"/>
      <c r="B148" s="76" t="n"/>
      <c r="C148" s="76" t="n"/>
      <c r="D148" s="76" t="n"/>
      <c r="E148" s="70" t="inlineStr">
        <is>
          <t>Lane 2 writes LRa, lane 0 reads LRa (reverse direction)  [corner]</t>
        </is>
      </c>
      <c r="F148" s="71" t="inlineStr">
        <is>
          <t>High</t>
        </is>
      </c>
      <c r="G148" s="71" t="inlineStr">
        <is>
          <t>X</t>
        </is>
      </c>
      <c r="H148" s="71" t="inlineStr">
        <is>
          <t>X</t>
        </is>
      </c>
      <c r="I148" t="inlineStr">
        <is>
          <t>LAN</t>
        </is>
      </c>
    </row>
    <row r="149" ht="33" customHeight="1">
      <c r="A149" s="76" t="n"/>
      <c r="B149" s="76" t="n"/>
      <c r="C149" s="76" t="n"/>
      <c r="D149" s="76" t="n"/>
      <c r="E149" s="70" t="inlineStr">
        <is>
          <t>Register swap in one word: ADD LR0 LR1 CR0 || ADD LR1 LR0 CR0 → LR0/LR1 swapped  [corner]</t>
        </is>
      </c>
      <c r="F149" s="71" t="inlineStr">
        <is>
          <t>High</t>
        </is>
      </c>
      <c r="G149" s="71" t="inlineStr">
        <is>
          <t>X</t>
        </is>
      </c>
      <c r="H149" s="71" t="inlineStr">
        <is>
          <t>X</t>
        </is>
      </c>
      <c r="I149" t="inlineStr">
        <is>
          <t>LAN</t>
        </is>
      </c>
    </row>
    <row r="150" ht="20" customHeight="1">
      <c r="A150" s="76" t="n"/>
      <c r="B150" s="76" t="n"/>
      <c r="C150" s="76" t="n"/>
      <c r="D150" s="76" t="n"/>
      <c r="E150" s="70" t="inlineStr">
        <is>
          <t>Rotate of three registers across 3 lanes in one word  [corner]</t>
        </is>
      </c>
      <c r="F150" s="71" t="inlineStr">
        <is>
          <t>High</t>
        </is>
      </c>
      <c r="G150" s="71" t="inlineStr">
        <is>
          <t>X</t>
        </is>
      </c>
      <c r="H150" s="71" t="inlineStr">
        <is>
          <t>X</t>
        </is>
      </c>
      <c r="I150" t="inlineStr">
        <is>
          <t>LAN</t>
        </is>
      </c>
    </row>
    <row r="151" ht="33" customHeight="1">
      <c r="A151" s="77" t="n"/>
      <c r="B151" s="77" t="n"/>
      <c r="C151" s="77" t="n"/>
      <c r="D151" s="77" t="n"/>
      <c r="E151" s="70" t="inlineStr">
        <is>
          <t>RMW op (INC / DEC / INC.MODP2 / ADDB) on LRa while another lane reads LRa as a source → reader sees old value  [corner]</t>
        </is>
      </c>
      <c r="F151" s="71" t="inlineStr">
        <is>
          <t>High</t>
        </is>
      </c>
      <c r="G151" s="71" t="inlineStr">
        <is>
          <t>X</t>
        </is>
      </c>
      <c r="H151" s="71" t="inlineStr">
        <is>
          <t>X</t>
        </is>
      </c>
      <c r="I151" t="inlineStr">
        <is>
          <t>LAN</t>
        </is>
      </c>
    </row>
    <row r="152" ht="20" customHeight="1">
      <c r="A152" s="72" t="inlineStr">
        <is>
          <t>LAN-04</t>
        </is>
      </c>
      <c r="B152" s="73" t="inlineStr">
        <is>
          <t>LR lanes (x3)</t>
        </is>
      </c>
      <c r="C152" s="74" t="inlineStr">
        <is>
          <t>The module shall leave LR unchanged for lanes holding NOP.</t>
        </is>
      </c>
      <c r="D152" s="74" t="inlineStr">
        <is>
          <t>Assumes an LR NOP encoding exists (Spec Questions Q7).</t>
        </is>
      </c>
      <c r="E152" s="74" t="inlineStr">
        <is>
          <t>All three lanes NOP → no LR changes  [standard]</t>
        </is>
      </c>
      <c r="F152" s="75" t="inlineStr">
        <is>
          <t>High</t>
        </is>
      </c>
      <c r="G152" s="75" t="inlineStr">
        <is>
          <t>X</t>
        </is>
      </c>
      <c r="H152" s="75" t="inlineStr">
        <is>
          <t>X</t>
        </is>
      </c>
      <c r="I152" t="inlineStr">
        <is>
          <t>LAN</t>
        </is>
      </c>
    </row>
    <row r="153" ht="33" customHeight="1">
      <c r="A153" s="76" t="n"/>
      <c r="B153" s="76" t="n"/>
      <c r="C153" s="76" t="n"/>
      <c r="D153" s="76" t="n"/>
      <c r="E153" s="74" t="inlineStr">
        <is>
          <t>One / two lanes NOP, remaining lanes write → only active dests change  [standard]</t>
        </is>
      </c>
      <c r="F153" s="75" t="inlineStr">
        <is>
          <t>High</t>
        </is>
      </c>
      <c r="G153" s="75" t="inlineStr">
        <is>
          <t>X</t>
        </is>
      </c>
      <c r="H153" s="75" t="inlineStr">
        <is>
          <t>X</t>
        </is>
      </c>
      <c r="I153" t="inlineStr">
        <is>
          <t>LAN</t>
        </is>
      </c>
    </row>
    <row r="154" ht="33" customHeight="1">
      <c r="A154" s="77" t="n"/>
      <c r="B154" s="77" t="n"/>
      <c r="C154" s="77" t="n"/>
      <c r="D154" s="77" t="n"/>
      <c r="E154" s="74" t="inlineStr">
        <is>
          <t>Long run of all-NOP LR words between writes, values persist  [corner]</t>
        </is>
      </c>
      <c r="F154" s="75" t="inlineStr">
        <is>
          <t>Medium</t>
        </is>
      </c>
      <c r="G154" s="75" t="inlineStr">
        <is>
          <t>X</t>
        </is>
      </c>
      <c r="H154" s="75" t="inlineStr">
        <is>
          <t>X</t>
        </is>
      </c>
      <c r="I154" t="inlineStr">
        <is>
          <t>LAN</t>
        </is>
      </c>
    </row>
    <row r="155" ht="20" customHeight="1">
      <c r="A155" s="68" t="inlineStr">
        <is>
          <t>LAN-05</t>
        </is>
      </c>
      <c r="B155" s="69" t="inlineStr">
        <is>
          <t>LR lanes (x3)</t>
        </is>
      </c>
      <c r="C155" s="70" t="inlineStr">
        <is>
          <t>The module shall change only the destination registers named in the word and keep all other LRs intact.</t>
        </is>
      </c>
      <c r="D155" s="70" t="inlineStr">
        <is>
          <t>Full 16-register compare every cycle.</t>
        </is>
      </c>
      <c r="E155" s="70" t="inlineStr">
        <is>
          <t>Single write: other 15 LRs unchanged, for each dest  [standard]</t>
        </is>
      </c>
      <c r="F155" s="71" t="inlineStr">
        <is>
          <t>High</t>
        </is>
      </c>
      <c r="G155" s="71" t="inlineStr">
        <is>
          <t>X</t>
        </is>
      </c>
      <c r="H155" s="71" t="inlineStr">
        <is>
          <t>X</t>
        </is>
      </c>
      <c r="I155" t="inlineStr">
        <is>
          <t>LAN</t>
        </is>
      </c>
    </row>
    <row r="156" ht="20" customHeight="1">
      <c r="A156" s="76" t="n"/>
      <c r="B156" s="76" t="n"/>
      <c r="C156" s="76" t="n"/>
      <c r="D156" s="76" t="n"/>
      <c r="E156" s="70" t="inlineStr">
        <is>
          <t>Triple write: other 13 LRs unchanged  [standard]</t>
        </is>
      </c>
      <c r="F156" s="71" t="inlineStr">
        <is>
          <t>High</t>
        </is>
      </c>
      <c r="G156" s="71" t="inlineStr">
        <is>
          <t>X</t>
        </is>
      </c>
      <c r="H156" s="71" t="inlineStr">
        <is>
          <t>X</t>
        </is>
      </c>
      <c r="I156" t="inlineStr">
        <is>
          <t>LAN</t>
        </is>
      </c>
    </row>
    <row r="157" ht="33" customHeight="1">
      <c r="A157" s="77" t="n"/>
      <c r="B157" s="77" t="n"/>
      <c r="C157" s="77" t="n"/>
      <c r="D157" s="77" t="n"/>
      <c r="E157" s="70" t="inlineStr">
        <is>
          <t>Walking-1 destination across LR0..LR15 with random content elsewhere  [corner]</t>
        </is>
      </c>
      <c r="F157" s="71" t="inlineStr">
        <is>
          <t>Medium</t>
        </is>
      </c>
      <c r="G157" s="71" t="inlineStr">
        <is>
          <t>X</t>
        </is>
      </c>
      <c r="H157" s="71" t="inlineStr">
        <is>
          <t>X</t>
        </is>
      </c>
      <c r="I157" t="inlineStr">
        <is>
          <t>LAN</t>
        </is>
      </c>
    </row>
    <row r="158" ht="33" customHeight="1">
      <c r="A158" s="72" t="inlineStr">
        <is>
          <t>LAN-06</t>
        </is>
      </c>
      <c r="B158" s="73" t="inlineStr">
        <is>
          <t>LR lanes (x3)</t>
        </is>
      </c>
      <c r="C158" s="74" t="inlineStr">
        <is>
          <t>The module shall apply writes from different words in program order.</t>
        </is>
      </c>
      <c r="D158" s="74" t="n"/>
      <c r="E158" s="74" t="inlineStr">
        <is>
          <t>Lane 0 writes LRx in word N, lane 2 writes LRx in word N+1 → N+1 wins  [corner]</t>
        </is>
      </c>
      <c r="F158" s="75" t="inlineStr">
        <is>
          <t>High</t>
        </is>
      </c>
      <c r="G158" s="75" t="inlineStr">
        <is>
          <t>X</t>
        </is>
      </c>
      <c r="H158" s="75" t="inlineStr">
        <is>
          <t>X</t>
        </is>
      </c>
      <c r="I158" t="inlineStr">
        <is>
          <t>LAN</t>
        </is>
      </c>
    </row>
    <row r="159" ht="33" customHeight="1">
      <c r="A159" s="77" t="n"/>
      <c r="B159" s="77" t="n"/>
      <c r="C159" s="77" t="n"/>
      <c r="D159" s="77" t="n"/>
      <c r="E159" s="74" t="inlineStr">
        <is>
          <t>Same register rewritten every word from rotating lanes (0,1,2,0,…)  [corner]</t>
        </is>
      </c>
      <c r="F159" s="75" t="inlineStr">
        <is>
          <t>Medium</t>
        </is>
      </c>
      <c r="G159" s="75" t="inlineStr">
        <is>
          <t>X</t>
        </is>
      </c>
      <c r="H159" s="75" t="inlineStr">
        <is>
          <t>X</t>
        </is>
      </c>
      <c r="I159" t="inlineStr">
        <is>
          <t>LAN</t>
        </is>
      </c>
    </row>
    <row r="160" ht="33" customHeight="1">
      <c r="A160" s="68" t="inlineStr">
        <is>
          <t>LAN-07</t>
        </is>
      </c>
      <c r="B160" s="69" t="inlineStr">
        <is>
          <t>LR lanes (x3)</t>
        </is>
      </c>
      <c r="C160" s="70" t="inlineStr">
        <is>
          <t>The module shall handle multiple ADDB/ADDBI pairs in one word.</t>
        </is>
      </c>
      <c r="D160" s="70" t="inlineStr">
        <is>
          <t>Spec says 'up to three LR writes per cycle' but ADDB* writes two LRs each → up to six (Spec Questions Q4).</t>
        </is>
      </c>
      <c r="E160" s="70" t="inlineStr">
        <is>
          <t>ADDB LRD0 || ADDB LRD2 || ADDBI LRD4 in one word → all six LRs updated  [corner]</t>
        </is>
      </c>
      <c r="F160" s="71" t="inlineStr">
        <is>
          <t>High</t>
        </is>
      </c>
      <c r="G160" s="71" t="inlineStr">
        <is>
          <t>X</t>
        </is>
      </c>
      <c r="H160" s="71" t="inlineStr">
        <is>
          <t>X</t>
        </is>
      </c>
      <c r="I160" t="inlineStr">
        <is>
          <t>LAN</t>
        </is>
      </c>
    </row>
    <row r="161" ht="33" customHeight="1">
      <c r="A161" s="76" t="n"/>
      <c r="B161" s="76" t="n"/>
      <c r="C161" s="76" t="n"/>
      <c r="D161" s="76" t="n"/>
      <c r="E161" s="70" t="inlineStr">
        <is>
          <t>ADDBI LRD2 in lane 0 and SET LR4 in lane 1 (adjacent but disjoint)  [corner]</t>
        </is>
      </c>
      <c r="F161" s="71" t="inlineStr">
        <is>
          <t>High</t>
        </is>
      </c>
      <c r="G161" s="71" t="inlineStr">
        <is>
          <t>X</t>
        </is>
      </c>
      <c r="H161" s="71" t="inlineStr">
        <is>
          <t>X</t>
        </is>
      </c>
      <c r="I161" t="inlineStr">
        <is>
          <t>LAN</t>
        </is>
      </c>
    </row>
    <row r="162" ht="20" customHeight="1">
      <c r="A162" s="77" t="n"/>
      <c r="B162" s="77" t="n"/>
      <c r="C162" s="77" t="n"/>
      <c r="D162" s="77" t="n"/>
      <c r="E162" s="70" t="inlineStr">
        <is>
          <t>ADDB pair + two scalar writes to disjoint LRs  [corner]</t>
        </is>
      </c>
      <c r="F162" s="71" t="inlineStr">
        <is>
          <t>Medium</t>
        </is>
      </c>
      <c r="G162" s="71" t="inlineStr">
        <is>
          <t>X</t>
        </is>
      </c>
      <c r="H162" s="71" t="inlineStr">
        <is>
          <t>X</t>
        </is>
      </c>
      <c r="I162" t="inlineStr">
        <is>
          <t>LAN</t>
        </is>
      </c>
    </row>
    <row r="163" ht="33" customHeight="1">
      <c r="A163" s="72" t="inlineStr">
        <is>
          <t>LRF-01</t>
        </is>
      </c>
      <c r="B163" s="73" t="inlineStr">
        <is>
          <t>LR / CR register state</t>
        </is>
      </c>
      <c r="C163" s="74" t="inlineStr">
        <is>
          <t>The module shall keep all 16 LRs independent 32-bit registers.</t>
        </is>
      </c>
      <c r="D163" s="74" t="n"/>
      <c r="E163" s="74" t="inlineStr">
        <is>
          <t>Write a distinct pattern to each LR0..LR15 and read each back  [standard]</t>
        </is>
      </c>
      <c r="F163" s="75" t="inlineStr">
        <is>
          <t>High</t>
        </is>
      </c>
      <c r="G163" s="75" t="inlineStr">
        <is>
          <t>X</t>
        </is>
      </c>
      <c r="H163" s="75" t="inlineStr">
        <is>
          <t>X</t>
        </is>
      </c>
      <c r="I163" t="inlineStr">
        <is>
          <t>LRF</t>
        </is>
      </c>
    </row>
    <row r="164" ht="33" customHeight="1">
      <c r="A164" s="76" t="n"/>
      <c r="B164" s="76" t="n"/>
      <c r="C164" s="76" t="n"/>
      <c r="D164" s="76" t="n"/>
      <c r="E164" s="74" t="inlineStr">
        <is>
          <t>Walking-1 and walking-0 across the 32 bits of every LR  [corner]</t>
        </is>
      </c>
      <c r="F164" s="75" t="inlineStr">
        <is>
          <t>Medium</t>
        </is>
      </c>
      <c r="G164" s="75" t="inlineStr">
        <is>
          <t>X</t>
        </is>
      </c>
      <c r="H164" s="75" t="inlineStr">
        <is>
          <t>X</t>
        </is>
      </c>
      <c r="I164" t="inlineStr">
        <is>
          <t>LRF</t>
        </is>
      </c>
    </row>
    <row r="165" ht="33" customHeight="1">
      <c r="A165" s="77" t="n"/>
      <c r="B165" s="77" t="n"/>
      <c r="C165" s="77" t="n"/>
      <c r="D165" s="77" t="n"/>
      <c r="E165" s="74" t="inlineStr">
        <is>
          <t>Neighbour pattern: write 0xFFFFFFFF to LRn, 0 to LRn±1 – no coupling  [corner]</t>
        </is>
      </c>
      <c r="F165" s="75" t="inlineStr">
        <is>
          <t>Medium</t>
        </is>
      </c>
      <c r="G165" s="75" t="inlineStr">
        <is>
          <t>X</t>
        </is>
      </c>
      <c r="H165" s="75" t="inlineStr">
        <is>
          <t>X</t>
        </is>
      </c>
      <c r="I165" t="inlineStr">
        <is>
          <t>LRF</t>
        </is>
      </c>
    </row>
    <row r="166" ht="23" customHeight="1">
      <c r="A166" s="68" t="inlineStr">
        <is>
          <t>LRF-02</t>
        </is>
      </c>
      <c r="B166" s="69" t="inlineStr">
        <is>
          <t>LR / CR register state</t>
        </is>
      </c>
      <c r="C166" s="70" t="inlineStr">
        <is>
          <t>The module shall treat LR0 and LR15 as ordinary writable registers (unlike CR0 / CR1).</t>
        </is>
      </c>
      <c r="D166" s="70" t="inlineStr">
        <is>
          <t>CR0=0 / CR1=1 are hard-wired; LR0 is not.</t>
        </is>
      </c>
      <c r="E166" s="70" t="inlineStr">
        <is>
          <t>Write non-zero to LR0 and read back (all LR ops)  [corner]</t>
        </is>
      </c>
      <c r="F166" s="71" t="inlineStr">
        <is>
          <t>High</t>
        </is>
      </c>
      <c r="G166" s="71" t="inlineStr">
        <is>
          <t>X</t>
        </is>
      </c>
      <c r="H166" s="71" t="inlineStr">
        <is>
          <t>X</t>
        </is>
      </c>
      <c r="I166" t="inlineStr">
        <is>
          <t>LRF</t>
        </is>
      </c>
    </row>
    <row r="167" ht="23" customHeight="1">
      <c r="A167" s="77" t="n"/>
      <c r="B167" s="77" t="n"/>
      <c r="C167" s="77" t="n"/>
      <c r="D167" s="77" t="n"/>
      <c r="E167" s="70" t="inlineStr">
        <is>
          <t>Write LR15 and read back; LR15 as LRD14 high half  [corner]</t>
        </is>
      </c>
      <c r="F167" s="71" t="inlineStr">
        <is>
          <t>Medium</t>
        </is>
      </c>
      <c r="G167" s="71" t="inlineStr">
        <is>
          <t>X</t>
        </is>
      </c>
      <c r="H167" s="71" t="inlineStr">
        <is>
          <t>X</t>
        </is>
      </c>
      <c r="I167" t="inlineStr">
        <is>
          <t>LRF</t>
        </is>
      </c>
    </row>
    <row r="168" ht="33" customHeight="1">
      <c r="A168" s="72" t="inlineStr">
        <is>
          <t>LRF-03</t>
        </is>
      </c>
      <c r="B168" s="73" t="inlineStr">
        <is>
          <t>LR / CR register state</t>
        </is>
      </c>
      <c r="C168" s="74" t="inlineStr">
        <is>
          <t>The module shall present CR0 = 0 and CR1 = 1 on every read, regardless of CR bank content.</t>
        </is>
      </c>
      <c r="D168" s="74" t="n"/>
      <c r="E168" s="74" t="inlineStr">
        <is>
          <t>CR0 / CR1 used as ADD/SUB/SET/branch/INC.MODP2/load operands read 0 / 1  [corner]</t>
        </is>
      </c>
      <c r="F168" s="75" t="inlineStr">
        <is>
          <t>High</t>
        </is>
      </c>
      <c r="G168" s="75" t="inlineStr">
        <is>
          <t>X</t>
        </is>
      </c>
      <c r="H168" s="75" t="inlineStr">
        <is>
          <t>X</t>
        </is>
      </c>
      <c r="I168" t="inlineStr">
        <is>
          <t>LRF</t>
        </is>
      </c>
    </row>
    <row r="169" ht="33" customHeight="1">
      <c r="A169" s="77" t="n"/>
      <c r="B169" s="77" t="n"/>
      <c r="C169" s="77" t="n"/>
      <c r="D169" s="77" t="n"/>
      <c r="E169" s="74" t="inlineStr">
        <is>
          <t>After a CR bank swap with different CR2..CR15 content, CR0 / CR1 still 0 / 1  [corner]</t>
        </is>
      </c>
      <c r="F169" s="75" t="inlineStr">
        <is>
          <t>Medium</t>
        </is>
      </c>
      <c r="G169" s="75" t="inlineStr">
        <is>
          <t>X</t>
        </is>
      </c>
      <c r="H169" s="75" t="inlineStr">
        <is>
          <t>X</t>
        </is>
      </c>
      <c r="I169" t="inlineStr">
        <is>
          <t>LRF</t>
        </is>
      </c>
    </row>
    <row r="170" ht="33" customHeight="1">
      <c r="A170" s="68" t="inlineStr">
        <is>
          <t>LRF-04</t>
        </is>
      </c>
      <c r="B170" s="69" t="inlineStr">
        <is>
          <t>LR / CR register state</t>
        </is>
      </c>
      <c r="C170" s="70" t="inlineStr">
        <is>
          <t>The module shall read CR operands from the active CR bank.</t>
        </is>
      </c>
      <c r="D170" s="70" t="inlineStr">
        <is>
          <t>Bank swap itself (APB) is not stimulated here; two kernels with different CR content.</t>
        </is>
      </c>
      <c r="E170" s="70" t="inlineStr">
        <is>
          <t>CR2..CR15 each returns the active-bank value in every operand position (ADD/SUB/SET/INC.MODP2/ADDB/branch/load)  [standard]</t>
        </is>
      </c>
      <c r="F170" s="71" t="inlineStr">
        <is>
          <t>High</t>
        </is>
      </c>
      <c r="G170" s="71" t="inlineStr">
        <is>
          <t>X</t>
        </is>
      </c>
      <c r="H170" s="71" t="inlineStr">
        <is>
          <t>X</t>
        </is>
      </c>
      <c r="I170" t="inlineStr">
        <is>
          <t>LRF</t>
        </is>
      </c>
    </row>
    <row r="171" ht="33" customHeight="1">
      <c r="A171" s="77" t="n"/>
      <c r="B171" s="77" t="n"/>
      <c r="C171" s="77" t="n"/>
      <c r="D171" s="77" t="n"/>
      <c r="E171" s="70" t="inlineStr">
        <is>
          <t>Kernel 1 / swap / kernel 2 with different CR content – kernel 2 sees only the new content  [corner]</t>
        </is>
      </c>
      <c r="F171" s="71" t="inlineStr">
        <is>
          <t>Medium</t>
        </is>
      </c>
      <c r="G171" s="71" t="inlineStr">
        <is>
          <t>X</t>
        </is>
      </c>
      <c r="H171" s="71" t="inlineStr">
        <is>
          <t>X</t>
        </is>
      </c>
      <c r="I171" t="inlineStr">
        <is>
          <t>LRF</t>
        </is>
      </c>
    </row>
    <row r="172" ht="33" customHeight="1">
      <c r="A172" s="72" t="inlineStr">
        <is>
          <t>LRF-05</t>
        </is>
      </c>
      <c r="B172" s="73" t="inlineStr">
        <is>
          <t>LR / CR register state</t>
        </is>
      </c>
      <c r="C172" s="74" t="inlineStr">
        <is>
          <t>The module shall expose LRDn as the alias of LR(n+1):LR(n) with no separate storage.</t>
        </is>
      </c>
      <c r="D172" s="74" t="n"/>
      <c r="E172" s="74" t="inlineStr">
        <is>
          <t>SET LR(n) / SET LR(n+1) then ADDB LRDn → byte add on the combined value  [corner]</t>
        </is>
      </c>
      <c r="F172" s="75" t="inlineStr">
        <is>
          <t>High</t>
        </is>
      </c>
      <c r="G172" s="75" t="inlineStr">
        <is>
          <t>X</t>
        </is>
      </c>
      <c r="H172" s="75" t="inlineStr">
        <is>
          <t>X</t>
        </is>
      </c>
      <c r="I172" t="inlineStr">
        <is>
          <t>LRF</t>
        </is>
      </c>
    </row>
    <row r="173" ht="33" customHeight="1">
      <c r="A173" s="76" t="n"/>
      <c r="B173" s="76" t="n"/>
      <c r="C173" s="76" t="n"/>
      <c r="D173" s="76" t="n"/>
      <c r="E173" s="74" t="inlineStr">
        <is>
          <t>ADDB LRDn then read LR(n) / LR(n+1) with ADD / SET-compare → both halves updated  [corner]</t>
        </is>
      </c>
      <c r="F173" s="75" t="inlineStr">
        <is>
          <t>High</t>
        </is>
      </c>
      <c r="G173" s="75" t="inlineStr">
        <is>
          <t>X</t>
        </is>
      </c>
      <c r="H173" s="75" t="inlineStr">
        <is>
          <t>X</t>
        </is>
      </c>
      <c r="I173" t="inlineStr">
        <is>
          <t>LRF</t>
        </is>
      </c>
    </row>
    <row r="174" ht="33" customHeight="1">
      <c r="A174" s="77" t="n"/>
      <c r="B174" s="77" t="n"/>
      <c r="C174" s="77" t="n"/>
      <c r="D174" s="77" t="n"/>
      <c r="E174" s="74" t="inlineStr">
        <is>
          <t>32-bit ADD on LR(n) after ADDB (no byte-wise side effects on the other half)  [corner]</t>
        </is>
      </c>
      <c r="F174" s="75" t="inlineStr">
        <is>
          <t>Medium</t>
        </is>
      </c>
      <c r="G174" s="75" t="inlineStr">
        <is>
          <t>X</t>
        </is>
      </c>
      <c r="H174" s="75" t="inlineStr">
        <is>
          <t>X</t>
        </is>
      </c>
      <c r="I174" t="inlineStr">
        <is>
          <t>LRF</t>
        </is>
      </c>
    </row>
    <row r="175" ht="20" customHeight="1">
      <c r="A175" s="68" t="inlineStr">
        <is>
          <t>LRF-06</t>
        </is>
      </c>
      <c r="B175" s="69" t="inlineStr">
        <is>
          <t>LR / CR register state</t>
        </is>
      </c>
      <c r="C175" s="70" t="inlineStr">
        <is>
          <t>The module shall reset PC to 0 and drop pending LR writes when rst is asserted.</t>
        </is>
      </c>
      <c r="D175" s="70" t="inlineStr">
        <is>
          <t>Spec §3.1. LR reset value is not specified (Q6).</t>
        </is>
      </c>
      <c r="E175" s="70" t="inlineStr">
        <is>
          <t>Reset at power-up, run kernel from PC 0  [standard]</t>
        </is>
      </c>
      <c r="F175" s="71" t="inlineStr">
        <is>
          <t>High</t>
        </is>
      </c>
      <c r="G175" s="71" t="inlineStr">
        <is>
          <t>X</t>
        </is>
      </c>
      <c r="H175" s="71" t="inlineStr">
        <is>
          <t>X</t>
        </is>
      </c>
      <c r="I175" t="inlineStr">
        <is>
          <t>LRF</t>
        </is>
      </c>
    </row>
    <row r="176" ht="33" customHeight="1">
      <c r="A176" s="76" t="n"/>
      <c r="B176" s="76" t="n"/>
      <c r="C176" s="76" t="n"/>
      <c r="D176" s="76" t="n"/>
      <c r="E176" s="70" t="inlineStr">
        <is>
          <t>Reset mid-kernel while LR writes are in flight → no write lands after reset  [corner]</t>
        </is>
      </c>
      <c r="F176" s="71" t="inlineStr">
        <is>
          <t>High</t>
        </is>
      </c>
      <c r="G176" s="71" t="inlineStr">
        <is>
          <t>X</t>
        </is>
      </c>
      <c r="H176" s="71" t="inlineStr">
        <is>
          <t>X</t>
        </is>
      </c>
      <c r="I176" t="inlineStr">
        <is>
          <t>LRF</t>
        </is>
      </c>
    </row>
    <row r="177" ht="33" customHeight="1">
      <c r="A177" s="76" t="n"/>
      <c r="B177" s="76" t="n"/>
      <c r="C177" s="76" t="n"/>
      <c r="D177" s="76" t="n"/>
      <c r="E177" s="70" t="inlineStr">
        <is>
          <t>Reset in the cycle of a taken branch → PC = 0, not target  [corner]</t>
        </is>
      </c>
      <c r="F177" s="71" t="inlineStr">
        <is>
          <t>High</t>
        </is>
      </c>
      <c r="G177" s="71" t="inlineStr">
        <is>
          <t>X</t>
        </is>
      </c>
      <c r="H177" s="71" t="inlineStr">
        <is>
          <t>X</t>
        </is>
      </c>
      <c r="I177" t="inlineStr">
        <is>
          <t>LRF</t>
        </is>
      </c>
    </row>
    <row r="178" ht="20" customHeight="1">
      <c r="A178" s="76" t="n"/>
      <c r="B178" s="76" t="n"/>
      <c r="C178" s="76" t="n"/>
      <c r="D178" s="76" t="n"/>
      <c r="E178" s="70" t="inlineStr">
        <is>
          <t>Reset after HALT → fetch resumes at PC 0  [corner]</t>
        </is>
      </c>
      <c r="F178" s="71" t="inlineStr">
        <is>
          <t>High</t>
        </is>
      </c>
      <c r="G178" s="71" t="inlineStr">
        <is>
          <t>X</t>
        </is>
      </c>
      <c r="H178" s="71" t="inlineStr">
        <is>
          <t>X</t>
        </is>
      </c>
      <c r="I178" t="inlineStr">
        <is>
          <t>LRF</t>
        </is>
      </c>
    </row>
    <row r="179" ht="20" customHeight="1">
      <c r="A179" s="76" t="n"/>
      <c r="B179" s="76" t="n"/>
      <c r="C179" s="76" t="n"/>
      <c r="D179" s="76" t="n"/>
      <c r="E179" s="70" t="inlineStr">
        <is>
          <t>1-cycle rst pulse and long rst  [corner]</t>
        </is>
      </c>
      <c r="F179" s="71" t="inlineStr">
        <is>
          <t>Medium</t>
        </is>
      </c>
      <c r="G179" s="71" t="inlineStr">
        <is>
          <t>X</t>
        </is>
      </c>
      <c r="H179" s="71" t="inlineStr">
        <is>
          <t>X</t>
        </is>
      </c>
      <c r="I179" t="inlineStr">
        <is>
          <t>LRF</t>
        </is>
      </c>
    </row>
    <row r="180" ht="33" customHeight="1">
      <c r="A180" s="77" t="n"/>
      <c r="B180" s="77" t="n"/>
      <c r="C180" s="77" t="n"/>
      <c r="D180" s="77" t="n"/>
      <c r="E180" s="70" t="inlineStr">
        <is>
          <t>LR content after reset compared with the value the designer specifies  [corner]</t>
        </is>
      </c>
      <c r="F180" s="71" t="inlineStr">
        <is>
          <t>Medium</t>
        </is>
      </c>
      <c r="G180" s="71" t="inlineStr">
        <is>
          <t>X</t>
        </is>
      </c>
      <c r="H180" s="71" t="inlineStr">
        <is>
          <t>X</t>
        </is>
      </c>
      <c r="I180" t="inlineStr">
        <is>
          <t>LRF</t>
        </is>
      </c>
    </row>
    <row r="181" ht="33" customHeight="1">
      <c r="A181" s="72" t="inlineStr">
        <is>
          <t>TIM-01</t>
        </is>
      </c>
      <c r="B181" s="73" t="inlineStr">
        <is>
          <t>LR hazards &amp; timing</t>
        </is>
      </c>
      <c r="C181" s="74" t="inlineStr">
        <is>
          <t>The module shall make an LR written in word N visible to LR-ALU sources in word N+1 (and later).</t>
        </is>
      </c>
      <c r="D181" s="74" t="inlineStr">
        <is>
          <t>Producer x consumer cross.</t>
        </is>
      </c>
      <c r="E181" s="74" t="inlineStr">
        <is>
          <t>RAW distance 1: each of 8 producer ops → each of 8 consumer ops reading that LR  [corner]</t>
        </is>
      </c>
      <c r="F181" s="75" t="inlineStr">
        <is>
          <t>High</t>
        </is>
      </c>
      <c r="G181" s="75" t="inlineStr">
        <is>
          <t>X</t>
        </is>
      </c>
      <c r="H181" s="75" t="inlineStr">
        <is>
          <t>X</t>
        </is>
      </c>
      <c r="I181" t="inlineStr">
        <is>
          <t>TIM</t>
        </is>
      </c>
    </row>
    <row r="182" ht="20" customHeight="1">
      <c r="A182" s="76" t="n"/>
      <c r="B182" s="76" t="n"/>
      <c r="C182" s="76" t="n"/>
      <c r="D182" s="76" t="n"/>
      <c r="E182" s="74" t="inlineStr">
        <is>
          <t>Distance 2, 3, 10  [standard]</t>
        </is>
      </c>
      <c r="F182" s="75" t="inlineStr">
        <is>
          <t>Medium</t>
        </is>
      </c>
      <c r="G182" s="75" t="inlineStr">
        <is>
          <t>X</t>
        </is>
      </c>
      <c r="H182" s="75" t="inlineStr">
        <is>
          <t>X</t>
        </is>
      </c>
      <c r="I182" t="inlineStr">
        <is>
          <t>TIM</t>
        </is>
      </c>
    </row>
    <row r="183" ht="33" customHeight="1">
      <c r="A183" s="76" t="n"/>
      <c r="B183" s="76" t="n"/>
      <c r="C183" s="76" t="n"/>
      <c r="D183" s="76" t="n"/>
      <c r="E183" s="74" t="inlineStr">
        <is>
          <t>Producer in lane a, consumer in lane b (all 3x3 pairs)  [corner]</t>
        </is>
      </c>
      <c r="F183" s="75" t="inlineStr">
        <is>
          <t>Medium</t>
        </is>
      </c>
      <c r="G183" s="75" t="inlineStr">
        <is>
          <t>X</t>
        </is>
      </c>
      <c r="H183" s="75" t="inlineStr">
        <is>
          <t>X</t>
        </is>
      </c>
      <c r="I183" t="inlineStr">
        <is>
          <t>TIM</t>
        </is>
      </c>
    </row>
    <row r="184" ht="33" customHeight="1">
      <c r="A184" s="77" t="n"/>
      <c r="B184" s="77" t="n"/>
      <c r="C184" s="77" t="n"/>
      <c r="D184" s="77" t="n"/>
      <c r="E184" s="74" t="inlineStr">
        <is>
          <t>Dependent chain of 50 words (each word uses the previous result), compared against the model  [standard]</t>
        </is>
      </c>
      <c r="F184" s="75" t="inlineStr">
        <is>
          <t>High</t>
        </is>
      </c>
      <c r="G184" s="75" t="inlineStr">
        <is>
          <t>X</t>
        </is>
      </c>
      <c r="H184" s="75" t="inlineStr">
        <is>
          <t>X</t>
        </is>
      </c>
      <c r="I184" t="inlineStr">
        <is>
          <t>TIM</t>
        </is>
      </c>
    </row>
    <row r="185" ht="33" customHeight="1">
      <c r="A185" s="68" t="inlineStr">
        <is>
          <t>TIM-02</t>
        </is>
      </c>
      <c r="B185" s="69" t="inlineStr">
        <is>
          <t>LR hazards &amp; timing</t>
        </is>
      </c>
      <c r="C185" s="70" t="inlineStr">
        <is>
          <t>The module shall evaluate branch operands (reg1, reg2, BR reg) from the prior-cycle snapshot.</t>
        </is>
      </c>
      <c r="D185" s="70" t="inlineStr">
        <is>
          <t>Spec §5/§10: branch/COND operands see the committed end-of-N-1 value.</t>
        </is>
      </c>
      <c r="E185" s="70" t="inlineStr">
        <is>
          <t>LR written in the SAME word as the branch → branch compares the OLD value  [corner]</t>
        </is>
      </c>
      <c r="F185" s="71" t="inlineStr">
        <is>
          <t>High</t>
        </is>
      </c>
      <c r="G185" s="71" t="inlineStr">
        <is>
          <t>X</t>
        </is>
      </c>
      <c r="H185" s="71" t="inlineStr">
        <is>
          <t>X</t>
        </is>
      </c>
      <c r="I185" t="inlineStr">
        <is>
          <t>TIM</t>
        </is>
      </c>
    </row>
    <row r="186" ht="33" customHeight="1">
      <c r="A186" s="76" t="n"/>
      <c r="B186" s="76" t="n"/>
      <c r="C186" s="76" t="n"/>
      <c r="D186" s="76" t="n"/>
      <c r="E186" s="70" t="inlineStr">
        <is>
          <t>LR written in the word BEFORE the branch → branch compares the NEW value  [corner]</t>
        </is>
      </c>
      <c r="F186" s="71" t="inlineStr">
        <is>
          <t>High</t>
        </is>
      </c>
      <c r="G186" s="71" t="inlineStr">
        <is>
          <t>X</t>
        </is>
      </c>
      <c r="H186" s="71" t="inlineStr">
        <is>
          <t>X</t>
        </is>
      </c>
      <c r="I186" t="inlineStr">
        <is>
          <t>TIM</t>
        </is>
      </c>
    </row>
    <row r="187" ht="20" customHeight="1">
      <c r="A187" s="76" t="n"/>
      <c r="B187" s="76" t="n"/>
      <c r="C187" s="76" t="n"/>
      <c r="D187" s="76" t="n"/>
      <c r="E187" s="70" t="inlineStr">
        <is>
          <t>Same for reg2 and for BR reg  [corner]</t>
        </is>
      </c>
      <c r="F187" s="71" t="inlineStr">
        <is>
          <t>High</t>
        </is>
      </c>
      <c r="G187" s="71" t="inlineStr">
        <is>
          <t>X</t>
        </is>
      </c>
      <c r="H187" s="71" t="inlineStr">
        <is>
          <t>X</t>
        </is>
      </c>
      <c r="I187" t="inlineStr">
        <is>
          <t>TIM</t>
        </is>
      </c>
    </row>
    <row r="188" ht="33" customHeight="1">
      <c r="A188" s="76" t="n"/>
      <c r="B188" s="76" t="n"/>
      <c r="C188" s="76" t="n"/>
      <c r="D188" s="76" t="n"/>
      <c r="E188" s="70" t="inlineStr">
        <is>
          <t>Each LR op (8) as the same-word writer feeding a BEQ/BNE/BLT/BGE decision  [corner]</t>
        </is>
      </c>
      <c r="F188" s="71" t="inlineStr">
        <is>
          <t>Medium</t>
        </is>
      </c>
      <c r="G188" s="71" t="inlineStr">
        <is>
          <t>X</t>
        </is>
      </c>
      <c r="H188" s="71" t="inlineStr">
        <is>
          <t>X</t>
        </is>
      </c>
      <c r="I188" t="inlineStr">
        <is>
          <t>TIM</t>
        </is>
      </c>
    </row>
    <row r="189" ht="33" customHeight="1">
      <c r="A189" s="77" t="n"/>
      <c r="B189" s="77" t="n"/>
      <c r="C189" s="77" t="n"/>
      <c r="D189" s="77" t="n"/>
      <c r="E189" s="70" t="inlineStr">
        <is>
          <t>Same-word write flips the outcome (old value says taken, new value says not taken, and vice versa)  [corner]</t>
        </is>
      </c>
      <c r="F189" s="71" t="inlineStr">
        <is>
          <t>High</t>
        </is>
      </c>
      <c r="G189" s="71" t="inlineStr">
        <is>
          <t>X</t>
        </is>
      </c>
      <c r="H189" s="71" t="inlineStr">
        <is>
          <t>X</t>
        </is>
      </c>
      <c r="I189" t="inlineStr">
        <is>
          <t>TIM</t>
        </is>
      </c>
    </row>
    <row r="190" ht="33" customHeight="1">
      <c r="A190" s="72" t="inlineStr">
        <is>
          <t>TIM-03</t>
        </is>
      </c>
      <c r="B190" s="73" t="inlineStr">
        <is>
          <t>LR hazards &amp; timing</t>
        </is>
      </c>
      <c r="C190" s="74" t="inlineStr">
        <is>
          <t>The module shall execute the LR slots of a branch word regardless of whether the branch is taken.</t>
        </is>
      </c>
      <c r="D190" s="74" t="n"/>
      <c r="E190" s="74" t="inlineStr">
        <is>
          <t>Branch taken + LR write in same word → write committed  [corner]</t>
        </is>
      </c>
      <c r="F190" s="75" t="inlineStr">
        <is>
          <t>High</t>
        </is>
      </c>
      <c r="G190" s="75" t="inlineStr">
        <is>
          <t>X</t>
        </is>
      </c>
      <c r="H190" s="75" t="inlineStr">
        <is>
          <t>X</t>
        </is>
      </c>
      <c r="I190" t="inlineStr">
        <is>
          <t>TIM</t>
        </is>
      </c>
    </row>
    <row r="191" ht="33" customHeight="1">
      <c r="A191" s="76" t="n"/>
      <c r="B191" s="76" t="n"/>
      <c r="C191" s="76" t="n"/>
      <c r="D191" s="76" t="n"/>
      <c r="E191" s="74" t="inlineStr">
        <is>
          <t>Branch not taken + LR write in same word → write committed  [corner]</t>
        </is>
      </c>
      <c r="F191" s="75" t="inlineStr">
        <is>
          <t>High</t>
        </is>
      </c>
      <c r="G191" s="75" t="inlineStr">
        <is>
          <t>X</t>
        </is>
      </c>
      <c r="H191" s="75" t="inlineStr">
        <is>
          <t>X</t>
        </is>
      </c>
      <c r="I191" t="inlineStr">
        <is>
          <t>TIM</t>
        </is>
      </c>
    </row>
    <row r="192" ht="20" customHeight="1">
      <c r="A192" s="77" t="n"/>
      <c r="B192" s="77" t="n"/>
      <c r="C192" s="77" t="n"/>
      <c r="D192" s="77" t="n"/>
      <c r="E192" s="74" t="inlineStr">
        <is>
          <t>BR word with LR writes  [corner]</t>
        </is>
      </c>
      <c r="F192" s="75" t="inlineStr">
        <is>
          <t>Medium</t>
        </is>
      </c>
      <c r="G192" s="75" t="inlineStr">
        <is>
          <t>X</t>
        </is>
      </c>
      <c r="H192" s="75" t="inlineStr">
        <is>
          <t>X</t>
        </is>
      </c>
      <c r="I192" t="inlineStr">
        <is>
          <t>TIM</t>
        </is>
      </c>
    </row>
    <row r="193" ht="33" customHeight="1">
      <c r="A193" s="68" t="inlineStr">
        <is>
          <t>TIM-04</t>
        </is>
      </c>
      <c r="B193" s="69" t="inlineStr">
        <is>
          <t>LR hazards &amp; timing</t>
        </is>
      </c>
      <c r="C193" s="70" t="inlineStr">
        <is>
          <t>The module shall NOT commit LR writes of the speculatively fetched, not-selected word.</t>
        </is>
      </c>
      <c r="D193" s="70" t="inlineStr">
        <is>
          <t>Both PC+1 and label are fetched in parallel; only one may execute.</t>
        </is>
      </c>
      <c r="E193" s="70" t="inlineStr">
        <is>
          <t>Taken branch: the PC+1 word contains LR writes (poison) → they never commit  [corner]</t>
        </is>
      </c>
      <c r="F193" s="71" t="inlineStr">
        <is>
          <t>High</t>
        </is>
      </c>
      <c r="G193" s="71" t="inlineStr">
        <is>
          <t>X</t>
        </is>
      </c>
      <c r="H193" s="71" t="inlineStr">
        <is>
          <t>X</t>
        </is>
      </c>
      <c r="I193" t="inlineStr">
        <is>
          <t>TIM</t>
        </is>
      </c>
    </row>
    <row r="194" ht="33" customHeight="1">
      <c r="A194" s="76" t="n"/>
      <c r="B194" s="76" t="n"/>
      <c r="C194" s="76" t="n"/>
      <c r="D194" s="76" t="n"/>
      <c r="E194" s="70" t="inlineStr">
        <is>
          <t>Not-taken branch: the label word contains LR writes (poison) → never commit  [corner]</t>
        </is>
      </c>
      <c r="F194" s="71" t="inlineStr">
        <is>
          <t>High</t>
        </is>
      </c>
      <c r="G194" s="71" t="inlineStr">
        <is>
          <t>X</t>
        </is>
      </c>
      <c r="H194" s="71" t="inlineStr">
        <is>
          <t>X</t>
        </is>
      </c>
      <c r="I194" t="inlineStr">
        <is>
          <t>TIM</t>
        </is>
      </c>
    </row>
    <row r="195" ht="33" customHeight="1">
      <c r="A195" s="77" t="n"/>
      <c r="B195" s="77" t="n"/>
      <c r="C195" s="77" t="n"/>
      <c r="D195" s="77" t="n"/>
      <c r="E195" s="70" t="inlineStr">
        <is>
          <t>Both candidates write the same LR with different values; the resolved path's value wins  [corner]</t>
        </is>
      </c>
      <c r="F195" s="71" t="inlineStr">
        <is>
          <t>High</t>
        </is>
      </c>
      <c r="G195" s="71" t="inlineStr">
        <is>
          <t>X</t>
        </is>
      </c>
      <c r="H195" s="71" t="inlineStr">
        <is>
          <t>X</t>
        </is>
      </c>
      <c r="I195" t="inlineStr">
        <is>
          <t>TIM</t>
        </is>
      </c>
    </row>
    <row r="196" ht="22" customHeight="1">
      <c r="A196" s="66" t="inlineStr">
        <is>
          <t>C. COND SLOT — branch evaluation and HALT</t>
        </is>
      </c>
      <c r="B196" s="67" t="n"/>
      <c r="C196" s="67" t="n"/>
      <c r="D196" s="67" t="n"/>
      <c r="E196" s="67" t="n"/>
      <c r="F196" s="67" t="n"/>
      <c r="G196" s="67" t="n"/>
      <c r="H196" s="67" t="n"/>
    </row>
    <row r="197" ht="20" customHeight="1">
      <c r="A197" s="68" t="inlineStr">
        <is>
          <t>BEQ-01</t>
        </is>
      </c>
      <c r="B197" s="69" t="inlineStr">
        <is>
          <t>COND: BEQ</t>
        </is>
      </c>
      <c r="C197" s="70" t="inlineStr">
        <is>
          <t>The module shall branch to label when reg1 == reg2 and fall through to PC+1 otherwise.</t>
        </is>
      </c>
      <c r="D197" s="70" t="inlineStr">
        <is>
          <t>LcrIdx operands: LR0-15 or CR0-15. Full 32-bit compare.</t>
        </is>
      </c>
      <c r="E197" s="70" t="inlineStr">
        <is>
          <t>Equal values → taken; different → not taken  [standard]</t>
        </is>
      </c>
      <c r="F197" s="71" t="inlineStr">
        <is>
          <t>High</t>
        </is>
      </c>
      <c r="G197" s="71" t="inlineStr">
        <is>
          <t>X</t>
        </is>
      </c>
      <c r="H197" s="71" t="inlineStr">
        <is>
          <t>X</t>
        </is>
      </c>
      <c r="I197" t="inlineStr">
        <is>
          <t>BEQ</t>
        </is>
      </c>
    </row>
    <row r="198" ht="33" customHeight="1">
      <c r="A198" s="76" t="n"/>
      <c r="B198" s="76" t="n"/>
      <c r="C198" s="76" t="n"/>
      <c r="D198" s="76" t="n"/>
      <c r="E198" s="70" t="inlineStr">
        <is>
          <t>Differ in LSB only; differ in MSB only; differ in one middle bit  [corner]</t>
        </is>
      </c>
      <c r="F198" s="71" t="inlineStr">
        <is>
          <t>High</t>
        </is>
      </c>
      <c r="G198" s="71" t="inlineStr">
        <is>
          <t>X</t>
        </is>
      </c>
      <c r="H198" s="71" t="inlineStr">
        <is>
          <t>X</t>
        </is>
      </c>
      <c r="I198" t="inlineStr">
        <is>
          <t>BEQ</t>
        </is>
      </c>
    </row>
    <row r="199" ht="20" customHeight="1">
      <c r="A199" s="76" t="n"/>
      <c r="B199" s="76" t="n"/>
      <c r="C199" s="76" t="n"/>
      <c r="D199" s="76" t="n"/>
      <c r="E199" s="70" t="inlineStr">
        <is>
          <t>Both 0; both 0xFFFFFFFF; both 0x80000000  [corner]</t>
        </is>
      </c>
      <c r="F199" s="71" t="inlineStr">
        <is>
          <t>Medium</t>
        </is>
      </c>
      <c r="G199" s="71" t="inlineStr">
        <is>
          <t>X</t>
        </is>
      </c>
      <c r="H199" s="71" t="inlineStr">
        <is>
          <t>X</t>
        </is>
      </c>
      <c r="I199" t="inlineStr">
        <is>
          <t>BEQ</t>
        </is>
      </c>
    </row>
    <row r="200" ht="20" customHeight="1">
      <c r="A200" s="76" t="n"/>
      <c r="B200" s="76" t="n"/>
      <c r="C200" s="76" t="n"/>
      <c r="D200" s="76" t="n"/>
      <c r="E200" s="70" t="inlineStr">
        <is>
          <t>Operand types LR-LR, LR-CR, CR-LR, CR-CR  [standard]</t>
        </is>
      </c>
      <c r="F200" s="71" t="inlineStr">
        <is>
          <t>High</t>
        </is>
      </c>
      <c r="G200" s="71" t="inlineStr">
        <is>
          <t>X</t>
        </is>
      </c>
      <c r="H200" s="71" t="inlineStr">
        <is>
          <t>X</t>
        </is>
      </c>
      <c r="I200" t="inlineStr">
        <is>
          <t>BEQ</t>
        </is>
      </c>
    </row>
    <row r="201" ht="20" customHeight="1">
      <c r="A201" s="76" t="n"/>
      <c r="B201" s="76" t="n"/>
      <c r="C201" s="76" t="n"/>
      <c r="D201" s="76" t="n"/>
      <c r="E201" s="70" t="inlineStr">
        <is>
          <t>reg1 == reg2 (same index) → always taken  [corner]</t>
        </is>
      </c>
      <c r="F201" s="71" t="inlineStr">
        <is>
          <t>Medium</t>
        </is>
      </c>
      <c r="G201" s="71" t="inlineStr">
        <is>
          <t>X</t>
        </is>
      </c>
      <c r="H201" s="71" t="inlineStr">
        <is>
          <t>X</t>
        </is>
      </c>
      <c r="I201" t="inlineStr">
        <is>
          <t>BEQ</t>
        </is>
      </c>
    </row>
    <row r="202" ht="33" customHeight="1">
      <c r="A202" s="76" t="n"/>
      <c r="B202" s="76" t="n"/>
      <c r="C202" s="76" t="n"/>
      <c r="D202" s="76" t="n"/>
      <c r="E202" s="70" t="inlineStr">
        <is>
          <t>LR k vs CR k (same index, different files, equal / different values)  [corner]</t>
        </is>
      </c>
      <c r="F202" s="71" t="inlineStr">
        <is>
          <t>High</t>
        </is>
      </c>
      <c r="G202" s="71" t="inlineStr">
        <is>
          <t>X</t>
        </is>
      </c>
      <c r="H202" s="71" t="inlineStr">
        <is>
          <t>X</t>
        </is>
      </c>
      <c r="I202" t="inlineStr">
        <is>
          <t>BEQ</t>
        </is>
      </c>
    </row>
    <row r="203" ht="20" customHeight="1">
      <c r="A203" s="76" t="n"/>
      <c r="B203" s="76" t="n"/>
      <c r="C203" s="76" t="n"/>
      <c r="D203" s="76" t="n"/>
      <c r="E203" s="70" t="inlineStr">
        <is>
          <t>CR0 vs CR0 (always taken), CR0 vs CR1 (never)  [corner]</t>
        </is>
      </c>
      <c r="F203" s="71" t="inlineStr">
        <is>
          <t>Medium</t>
        </is>
      </c>
      <c r="G203" s="71" t="inlineStr">
        <is>
          <t>X</t>
        </is>
      </c>
      <c r="H203" s="71" t="inlineStr">
        <is>
          <t>X</t>
        </is>
      </c>
      <c r="I203" t="inlineStr">
        <is>
          <t>BEQ</t>
        </is>
      </c>
    </row>
    <row r="204" ht="20" customHeight="1">
      <c r="A204" s="77" t="n"/>
      <c r="B204" s="77" t="n"/>
      <c r="C204" s="77" t="n"/>
      <c r="D204" s="77" t="n"/>
      <c r="E204" s="70" t="inlineStr">
        <is>
          <t>Loop exit: BEQ LRx CR0 end after DEC to exactly 0  [standard]</t>
        </is>
      </c>
      <c r="F204" s="71" t="inlineStr">
        <is>
          <t>High</t>
        </is>
      </c>
      <c r="G204" s="71" t="inlineStr">
        <is>
          <t>X</t>
        </is>
      </c>
      <c r="H204" s="71" t="inlineStr">
        <is>
          <t>X</t>
        </is>
      </c>
      <c r="I204" t="inlineStr">
        <is>
          <t>BEQ</t>
        </is>
      </c>
    </row>
    <row r="205" ht="20" customHeight="1">
      <c r="A205" s="72" t="inlineStr">
        <is>
          <t>BNE-01</t>
        </is>
      </c>
      <c r="B205" s="73" t="inlineStr">
        <is>
          <t>COND: BNE</t>
        </is>
      </c>
      <c r="C205" s="74" t="inlineStr">
        <is>
          <t>The module shall branch to label when reg1 != reg2 and fall through otherwise.</t>
        </is>
      </c>
      <c r="D205" s="74" t="n"/>
      <c r="E205" s="74" t="inlineStr">
        <is>
          <t>Different → taken; equal → not taken  [standard]</t>
        </is>
      </c>
      <c r="F205" s="75" t="inlineStr">
        <is>
          <t>High</t>
        </is>
      </c>
      <c r="G205" s="75" t="inlineStr">
        <is>
          <t>X</t>
        </is>
      </c>
      <c r="H205" s="75" t="inlineStr">
        <is>
          <t>X</t>
        </is>
      </c>
      <c r="I205" t="inlineStr">
        <is>
          <t>BNE</t>
        </is>
      </c>
    </row>
    <row r="206" ht="20" customHeight="1">
      <c r="A206" s="76" t="n"/>
      <c r="B206" s="76" t="n"/>
      <c r="C206" s="76" t="n"/>
      <c r="D206" s="76" t="n"/>
      <c r="E206" s="74" t="inlineStr">
        <is>
          <t>Differ in LSB only; MSB only; middle bit  [corner]</t>
        </is>
      </c>
      <c r="F206" s="75" t="inlineStr">
        <is>
          <t>High</t>
        </is>
      </c>
      <c r="G206" s="75" t="inlineStr">
        <is>
          <t>X</t>
        </is>
      </c>
      <c r="H206" s="75" t="inlineStr">
        <is>
          <t>X</t>
        </is>
      </c>
      <c r="I206" t="inlineStr">
        <is>
          <t>BNE</t>
        </is>
      </c>
    </row>
    <row r="207" ht="20" customHeight="1">
      <c r="A207" s="76" t="n"/>
      <c r="B207" s="76" t="n"/>
      <c r="C207" s="76" t="n"/>
      <c r="D207" s="76" t="n"/>
      <c r="E207" s="74" t="inlineStr">
        <is>
          <t>Operand types LR-LR, LR-CR, CR-LR, CR-CR  [standard]</t>
        </is>
      </c>
      <c r="F207" s="75" t="inlineStr">
        <is>
          <t>High</t>
        </is>
      </c>
      <c r="G207" s="75" t="inlineStr">
        <is>
          <t>X</t>
        </is>
      </c>
      <c r="H207" s="75" t="inlineStr">
        <is>
          <t>X</t>
        </is>
      </c>
      <c r="I207" t="inlineStr">
        <is>
          <t>BNE</t>
        </is>
      </c>
    </row>
    <row r="208" ht="20" customHeight="1">
      <c r="A208" s="76" t="n"/>
      <c r="B208" s="76" t="n"/>
      <c r="C208" s="76" t="n"/>
      <c r="D208" s="76" t="n"/>
      <c r="E208" s="74" t="inlineStr">
        <is>
          <t>reg1 == reg2 same index → never taken  [corner]</t>
        </is>
      </c>
      <c r="F208" s="75" t="inlineStr">
        <is>
          <t>Medium</t>
        </is>
      </c>
      <c r="G208" s="75" t="inlineStr">
        <is>
          <t>X</t>
        </is>
      </c>
      <c r="H208" s="75" t="inlineStr">
        <is>
          <t>X</t>
        </is>
      </c>
      <c r="I208" t="inlineStr">
        <is>
          <t>BNE</t>
        </is>
      </c>
    </row>
    <row r="209" ht="20" customHeight="1">
      <c r="A209" s="76" t="n"/>
      <c r="B209" s="76" t="n"/>
      <c r="C209" s="76" t="n"/>
      <c r="D209" s="76" t="n"/>
      <c r="E209" s="74" t="inlineStr">
        <is>
          <t>LR k vs CR k  [corner]</t>
        </is>
      </c>
      <c r="F209" s="75" t="inlineStr">
        <is>
          <t>High</t>
        </is>
      </c>
      <c r="G209" s="75" t="inlineStr">
        <is>
          <t>X</t>
        </is>
      </c>
      <c r="H209" s="75" t="inlineStr">
        <is>
          <t>X</t>
        </is>
      </c>
      <c r="I209" t="inlineStr">
        <is>
          <t>BNE</t>
        </is>
      </c>
    </row>
    <row r="210" ht="33" customHeight="1">
      <c r="A210" s="77" t="n"/>
      <c r="B210" s="77" t="n"/>
      <c r="C210" s="77" t="n"/>
      <c r="D210" s="77" t="n"/>
      <c r="E210" s="74" t="inlineStr">
        <is>
          <t>Loop back-edge: BNE LRx CR0 loop with trip counts 1, 2, 3, 255, 256  [standard]</t>
        </is>
      </c>
      <c r="F210" s="75" t="inlineStr">
        <is>
          <t>High</t>
        </is>
      </c>
      <c r="G210" s="75" t="inlineStr">
        <is>
          <t>X</t>
        </is>
      </c>
      <c r="H210" s="75" t="inlineStr">
        <is>
          <t>X</t>
        </is>
      </c>
      <c r="I210" t="inlineStr">
        <is>
          <t>BNE</t>
        </is>
      </c>
    </row>
    <row r="211" ht="20" customHeight="1">
      <c r="A211" s="68" t="inlineStr">
        <is>
          <t>BLT-01</t>
        </is>
      </c>
      <c r="B211" s="69" t="inlineStr">
        <is>
          <t>COND: BLT.S</t>
        </is>
      </c>
      <c r="C211" s="70" t="inlineStr">
        <is>
          <t>The module shall branch when signed(reg1) &lt; signed(reg2) and fall through otherwise.</t>
        </is>
      </c>
      <c r="D211" s="70" t="inlineStr">
        <is>
          <t>Signed compare – the classic place to find an unsigned comparator.</t>
        </is>
      </c>
      <c r="E211" s="70" t="inlineStr">
        <is>
          <t>a &lt; b positive values; a &gt; b positive values  [standard]</t>
        </is>
      </c>
      <c r="F211" s="71" t="inlineStr">
        <is>
          <t>High</t>
        </is>
      </c>
      <c r="G211" s="71" t="inlineStr">
        <is>
          <t>X</t>
        </is>
      </c>
      <c r="H211" s="71" t="inlineStr">
        <is>
          <t>X</t>
        </is>
      </c>
      <c r="I211" t="inlineStr">
        <is>
          <t>BLT</t>
        </is>
      </c>
    </row>
    <row r="212" ht="20" customHeight="1">
      <c r="A212" s="76" t="n"/>
      <c r="B212" s="76" t="n"/>
      <c r="C212" s="76" t="n"/>
      <c r="D212" s="76" t="n"/>
      <c r="E212" s="70" t="inlineStr">
        <is>
          <t>a == b → not taken  [corner]</t>
        </is>
      </c>
      <c r="F212" s="71" t="inlineStr">
        <is>
          <t>High</t>
        </is>
      </c>
      <c r="G212" s="71" t="inlineStr">
        <is>
          <t>X</t>
        </is>
      </c>
      <c r="H212" s="71" t="inlineStr">
        <is>
          <t>X</t>
        </is>
      </c>
      <c r="I212" t="inlineStr">
        <is>
          <t>BLT</t>
        </is>
      </c>
    </row>
    <row r="213" ht="20" customHeight="1">
      <c r="A213" s="76" t="n"/>
      <c r="B213" s="76" t="n"/>
      <c r="C213" s="76" t="n"/>
      <c r="D213" s="76" t="n"/>
      <c r="E213" s="70" t="inlineStr">
        <is>
          <t>a = -1, b = 0 → taken (unsigned would not)  [corner]</t>
        </is>
      </c>
      <c r="F213" s="71" t="inlineStr">
        <is>
          <t>High</t>
        </is>
      </c>
      <c r="G213" s="71" t="inlineStr">
        <is>
          <t>X</t>
        </is>
      </c>
      <c r="H213" s="71" t="inlineStr">
        <is>
          <t>X</t>
        </is>
      </c>
      <c r="I213" t="inlineStr">
        <is>
          <t>BLT</t>
        </is>
      </c>
    </row>
    <row r="214" ht="33" customHeight="1">
      <c r="A214" s="76" t="n"/>
      <c r="B214" s="76" t="n"/>
      <c r="C214" s="76" t="n"/>
      <c r="D214" s="76" t="n"/>
      <c r="E214" s="70" t="inlineStr">
        <is>
          <t>a = 0x7FFFFFFF, b = 0x80000000 → NOT taken (a is larger signed)  [corner]</t>
        </is>
      </c>
      <c r="F214" s="71" t="inlineStr">
        <is>
          <t>High</t>
        </is>
      </c>
      <c r="G214" s="71" t="inlineStr">
        <is>
          <t>X</t>
        </is>
      </c>
      <c r="H214" s="71" t="inlineStr">
        <is>
          <t>X</t>
        </is>
      </c>
      <c r="I214" t="inlineStr">
        <is>
          <t>BLT</t>
        </is>
      </c>
    </row>
    <row r="215" ht="20" customHeight="1">
      <c r="A215" s="76" t="n"/>
      <c r="B215" s="76" t="n"/>
      <c r="C215" s="76" t="n"/>
      <c r="D215" s="76" t="n"/>
      <c r="E215" s="70" t="inlineStr">
        <is>
          <t>a = 0x80000000 (min), b = 0x7FFFFFFF (max) → taken  [corner]</t>
        </is>
      </c>
      <c r="F215" s="71" t="inlineStr">
        <is>
          <t>High</t>
        </is>
      </c>
      <c r="G215" s="71" t="inlineStr">
        <is>
          <t>X</t>
        </is>
      </c>
      <c r="H215" s="71" t="inlineStr">
        <is>
          <t>X</t>
        </is>
      </c>
      <c r="I215" t="inlineStr">
        <is>
          <t>BLT</t>
        </is>
      </c>
    </row>
    <row r="216" ht="33" customHeight="1">
      <c r="A216" s="76" t="n"/>
      <c r="B216" s="76" t="n"/>
      <c r="C216" s="76" t="n"/>
      <c r="D216" s="76" t="n"/>
      <c r="E216" s="70" t="inlineStr">
        <is>
          <t>a = b - 1 → taken; a = b + 1 → not taken (adjacent values), around 0, around ±2^31  [corner]</t>
        </is>
      </c>
      <c r="F216" s="71" t="inlineStr">
        <is>
          <t>High</t>
        </is>
      </c>
      <c r="G216" s="71" t="inlineStr">
        <is>
          <t>X</t>
        </is>
      </c>
      <c r="H216" s="71" t="inlineStr">
        <is>
          <t>X</t>
        </is>
      </c>
      <c r="I216" t="inlineStr">
        <is>
          <t>BLT</t>
        </is>
      </c>
    </row>
    <row r="217" ht="20" customHeight="1">
      <c r="A217" s="76" t="n"/>
      <c r="B217" s="76" t="n"/>
      <c r="C217" s="76" t="n"/>
      <c r="D217" s="76" t="n"/>
      <c r="E217" s="70" t="inlineStr">
        <is>
          <t>Both negative (a = -2, b = -1) and (a = -1, b = -2)  [corner]</t>
        </is>
      </c>
      <c r="F217" s="71" t="inlineStr">
        <is>
          <t>High</t>
        </is>
      </c>
      <c r="G217" s="71" t="inlineStr">
        <is>
          <t>X</t>
        </is>
      </c>
      <c r="H217" s="71" t="inlineStr">
        <is>
          <t>X</t>
        </is>
      </c>
      <c r="I217" t="inlineStr">
        <is>
          <t>BLT</t>
        </is>
      </c>
    </row>
    <row r="218" ht="20" customHeight="1">
      <c r="A218" s="76" t="n"/>
      <c r="B218" s="76" t="n"/>
      <c r="C218" s="76" t="n"/>
      <c r="D218" s="76" t="n"/>
      <c r="E218" s="70" t="inlineStr">
        <is>
          <t>a == b == 0x80000000  [corner]</t>
        </is>
      </c>
      <c r="F218" s="71" t="inlineStr">
        <is>
          <t>Medium</t>
        </is>
      </c>
      <c r="G218" s="71" t="inlineStr">
        <is>
          <t>X</t>
        </is>
      </c>
      <c r="H218" s="71" t="inlineStr">
        <is>
          <t>X</t>
        </is>
      </c>
      <c r="I218" t="inlineStr">
        <is>
          <t>BLT</t>
        </is>
      </c>
    </row>
    <row r="219" ht="33" customHeight="1">
      <c r="A219" s="76" t="n"/>
      <c r="B219" s="76" t="n"/>
      <c r="C219" s="76" t="n"/>
      <c r="D219" s="76" t="n"/>
      <c r="E219" s="70" t="inlineStr">
        <is>
          <t>LR vs CR operand mix; LR vs CR1 (a &lt; 1); a vs CR0 (a &lt; 0)  [corner]</t>
        </is>
      </c>
      <c r="F219" s="71" t="inlineStr">
        <is>
          <t>Medium</t>
        </is>
      </c>
      <c r="G219" s="71" t="inlineStr">
        <is>
          <t>X</t>
        </is>
      </c>
      <c r="H219" s="71" t="inlineStr">
        <is>
          <t>X</t>
        </is>
      </c>
      <c r="I219" t="inlineStr">
        <is>
          <t>BLT</t>
        </is>
      </c>
    </row>
    <row r="220" ht="20" customHeight="1">
      <c r="A220" s="77" t="n"/>
      <c r="B220" s="77" t="n"/>
      <c r="C220" s="77" t="n"/>
      <c r="D220" s="77" t="n"/>
      <c r="E220" s="70" t="inlineStr">
        <is>
          <t>Same register both operands → never taken  [corner]</t>
        </is>
      </c>
      <c r="F220" s="71" t="inlineStr">
        <is>
          <t>Low</t>
        </is>
      </c>
      <c r="G220" s="71" t="inlineStr">
        <is>
          <t>X</t>
        </is>
      </c>
      <c r="H220" s="71" t="inlineStr">
        <is>
          <t>X</t>
        </is>
      </c>
      <c r="I220" t="inlineStr">
        <is>
          <t>BLT</t>
        </is>
      </c>
    </row>
    <row r="221" ht="20" customHeight="1">
      <c r="A221" s="72" t="inlineStr">
        <is>
          <t>BGE-01</t>
        </is>
      </c>
      <c r="B221" s="73" t="inlineStr">
        <is>
          <t>COND: BGE.S</t>
        </is>
      </c>
      <c r="C221" s="74" t="inlineStr">
        <is>
          <t>The module shall branch when signed(reg1) &gt;= signed(reg2) and fall through otherwise.</t>
        </is>
      </c>
      <c r="D221" s="74" t="n"/>
      <c r="E221" s="74" t="inlineStr">
        <is>
          <t>a &gt; b; a &lt; b  [standard]</t>
        </is>
      </c>
      <c r="F221" s="75" t="inlineStr">
        <is>
          <t>High</t>
        </is>
      </c>
      <c r="G221" s="75" t="inlineStr">
        <is>
          <t>X</t>
        </is>
      </c>
      <c r="H221" s="75" t="inlineStr">
        <is>
          <t>X</t>
        </is>
      </c>
      <c r="I221" t="inlineStr">
        <is>
          <t>BGE</t>
        </is>
      </c>
    </row>
    <row r="222" ht="20" customHeight="1">
      <c r="A222" s="76" t="n"/>
      <c r="B222" s="76" t="n"/>
      <c r="C222" s="76" t="n"/>
      <c r="D222" s="76" t="n"/>
      <c r="E222" s="74" t="inlineStr">
        <is>
          <t>a == b → taken  [corner]</t>
        </is>
      </c>
      <c r="F222" s="75" t="inlineStr">
        <is>
          <t>High</t>
        </is>
      </c>
      <c r="G222" s="75" t="inlineStr">
        <is>
          <t>X</t>
        </is>
      </c>
      <c r="H222" s="75" t="inlineStr">
        <is>
          <t>X</t>
        </is>
      </c>
      <c r="I222" t="inlineStr">
        <is>
          <t>BGE</t>
        </is>
      </c>
    </row>
    <row r="223" ht="20" customHeight="1">
      <c r="A223" s="76" t="n"/>
      <c r="B223" s="76" t="n"/>
      <c r="C223" s="76" t="n"/>
      <c r="D223" s="76" t="n"/>
      <c r="E223" s="74" t="inlineStr">
        <is>
          <t>a = 0, b = -1 → taken (unsigned would not)  [corner]</t>
        </is>
      </c>
      <c r="F223" s="75" t="inlineStr">
        <is>
          <t>High</t>
        </is>
      </c>
      <c r="G223" s="75" t="inlineStr">
        <is>
          <t>X</t>
        </is>
      </c>
      <c r="H223" s="75" t="inlineStr">
        <is>
          <t>X</t>
        </is>
      </c>
      <c r="I223" t="inlineStr">
        <is>
          <t>BGE</t>
        </is>
      </c>
    </row>
    <row r="224" ht="20" customHeight="1">
      <c r="A224" s="76" t="n"/>
      <c r="B224" s="76" t="n"/>
      <c r="C224" s="76" t="n"/>
      <c r="D224" s="76" t="n"/>
      <c r="E224" s="74" t="inlineStr">
        <is>
          <t>a = 0x80000000, b = 0x7FFFFFFF → NOT taken  [corner]</t>
        </is>
      </c>
      <c r="F224" s="75" t="inlineStr">
        <is>
          <t>High</t>
        </is>
      </c>
      <c r="G224" s="75" t="inlineStr">
        <is>
          <t>X</t>
        </is>
      </c>
      <c r="H224" s="75" t="inlineStr">
        <is>
          <t>X</t>
        </is>
      </c>
      <c r="I224" t="inlineStr">
        <is>
          <t>BGE</t>
        </is>
      </c>
    </row>
    <row r="225" ht="20" customHeight="1">
      <c r="A225" s="76" t="n"/>
      <c r="B225" s="76" t="n"/>
      <c r="C225" s="76" t="n"/>
      <c r="D225" s="76" t="n"/>
      <c r="E225" s="74" t="inlineStr">
        <is>
          <t>a = 0x7FFFFFFF, b = 0x80000000 → taken  [corner]</t>
        </is>
      </c>
      <c r="F225" s="75" t="inlineStr">
        <is>
          <t>High</t>
        </is>
      </c>
      <c r="G225" s="75" t="inlineStr">
        <is>
          <t>X</t>
        </is>
      </c>
      <c r="H225" s="75" t="inlineStr">
        <is>
          <t>X</t>
        </is>
      </c>
      <c r="I225" t="inlineStr">
        <is>
          <t>BGE</t>
        </is>
      </c>
    </row>
    <row r="226" ht="33" customHeight="1">
      <c r="A226" s="76" t="n"/>
      <c r="B226" s="76" t="n"/>
      <c r="C226" s="76" t="n"/>
      <c r="D226" s="76" t="n"/>
      <c r="E226" s="74" t="inlineStr">
        <is>
          <t>a = b + 1 → taken; a = b - 1 → not taken, around 0 and ±2^31  [corner]</t>
        </is>
      </c>
      <c r="F226" s="75" t="inlineStr">
        <is>
          <t>High</t>
        </is>
      </c>
      <c r="G226" s="75" t="inlineStr">
        <is>
          <t>X</t>
        </is>
      </c>
      <c r="H226" s="75" t="inlineStr">
        <is>
          <t>X</t>
        </is>
      </c>
      <c r="I226" t="inlineStr">
        <is>
          <t>BGE</t>
        </is>
      </c>
    </row>
    <row r="227" ht="20" customHeight="1">
      <c r="A227" s="76" t="n"/>
      <c r="B227" s="76" t="n"/>
      <c r="C227" s="76" t="n"/>
      <c r="D227" s="76" t="n"/>
      <c r="E227" s="74" t="inlineStr">
        <is>
          <t>Both negative both orders; a == b == 0x80000000  [corner]</t>
        </is>
      </c>
      <c r="F227" s="75" t="inlineStr">
        <is>
          <t>Medium</t>
        </is>
      </c>
      <c r="G227" s="75" t="inlineStr">
        <is>
          <t>X</t>
        </is>
      </c>
      <c r="H227" s="75" t="inlineStr">
        <is>
          <t>X</t>
        </is>
      </c>
      <c r="I227" t="inlineStr">
        <is>
          <t>BGE</t>
        </is>
      </c>
    </row>
    <row r="228" ht="20" customHeight="1">
      <c r="A228" s="76" t="n"/>
      <c r="B228" s="76" t="n"/>
      <c r="C228" s="76" t="n"/>
      <c r="D228" s="76" t="n"/>
      <c r="E228" s="74" t="inlineStr">
        <is>
          <t>Same register both operands → always taken  [corner]</t>
        </is>
      </c>
      <c r="F228" s="75" t="inlineStr">
        <is>
          <t>Low</t>
        </is>
      </c>
      <c r="G228" s="75" t="inlineStr">
        <is>
          <t>X</t>
        </is>
      </c>
      <c r="H228" s="75" t="inlineStr">
        <is>
          <t>X</t>
        </is>
      </c>
      <c r="I228" t="inlineStr">
        <is>
          <t>BGE</t>
        </is>
      </c>
    </row>
    <row r="229" ht="33" customHeight="1">
      <c r="A229" s="77" t="n"/>
      <c r="B229" s="77" t="n"/>
      <c r="C229" s="77" t="n"/>
      <c r="D229" s="77" t="n"/>
      <c r="E229" s="74" t="inlineStr">
        <is>
          <t>Complementarity: for each pair, exactly one of BLT / BGE is taken  [standard]</t>
        </is>
      </c>
      <c r="F229" s="75" t="inlineStr">
        <is>
          <t>Medium</t>
        </is>
      </c>
      <c r="G229" s="75" t="inlineStr">
        <is>
          <t>X</t>
        </is>
      </c>
      <c r="H229" s="75" t="inlineStr">
        <is>
          <t>X</t>
        </is>
      </c>
      <c r="I229" t="inlineStr">
        <is>
          <t>BGE</t>
        </is>
      </c>
    </row>
    <row r="230" ht="20" customHeight="1">
      <c r="A230" s="68" t="inlineStr">
        <is>
          <t>BRR-01</t>
        </is>
      </c>
      <c r="B230" s="69" t="inlineStr">
        <is>
          <t>COND: BR</t>
        </is>
      </c>
      <c r="C230" s="70" t="inlineStr">
        <is>
          <t>The module shall always branch to the address held in reg when BR is issued, using the low PC_W (7) bits.</t>
        </is>
      </c>
      <c r="D230" s="70" t="inlineStr">
        <is>
          <t>No condition, no label. Target = reg[6:0].</t>
        </is>
      </c>
      <c r="E230" s="70" t="inlineStr">
        <is>
          <t>Target values 0, 1, 2, 64, 126, 127  [corner]</t>
        </is>
      </c>
      <c r="F230" s="71" t="inlineStr">
        <is>
          <t>High</t>
        </is>
      </c>
      <c r="G230" s="71" t="inlineStr">
        <is>
          <t>X</t>
        </is>
      </c>
      <c r="H230" s="71" t="inlineStr">
        <is>
          <t>X</t>
        </is>
      </c>
      <c r="I230" t="inlineStr">
        <is>
          <t>BRR</t>
        </is>
      </c>
    </row>
    <row r="231" ht="33" customHeight="1">
      <c r="A231" s="76" t="n"/>
      <c r="B231" s="76" t="n"/>
      <c r="C231" s="76" t="n"/>
      <c r="D231" s="76" t="n"/>
      <c r="E231" s="70" t="inlineStr">
        <is>
          <t>reg with upper bits set (0x00000085, 0xFFFFFF85) → target 5  [corner]</t>
        </is>
      </c>
      <c r="F231" s="71" t="inlineStr">
        <is>
          <t>High</t>
        </is>
      </c>
      <c r="G231" s="71" t="inlineStr">
        <is>
          <t>X</t>
        </is>
      </c>
      <c r="H231" s="71" t="inlineStr">
        <is>
          <t>X</t>
        </is>
      </c>
      <c r="I231" t="inlineStr">
        <is>
          <t>BRR</t>
        </is>
      </c>
    </row>
    <row r="232" ht="20" customHeight="1">
      <c r="A232" s="76" t="n"/>
      <c r="B232" s="76" t="n"/>
      <c r="C232" s="76" t="n"/>
      <c r="D232" s="76" t="n"/>
      <c r="E232" s="70" t="inlineStr">
        <is>
          <t>reg = CR0 → target 0; CR1 → target 1; CR k  [corner]</t>
        </is>
      </c>
      <c r="F232" s="71" t="inlineStr">
        <is>
          <t>Medium</t>
        </is>
      </c>
      <c r="G232" s="71" t="inlineStr">
        <is>
          <t>X</t>
        </is>
      </c>
      <c r="H232" s="71" t="inlineStr">
        <is>
          <t>X</t>
        </is>
      </c>
      <c r="I232" t="inlineStr">
        <is>
          <t>BRR</t>
        </is>
      </c>
    </row>
    <row r="233" ht="33" customHeight="1">
      <c r="A233" s="76" t="n"/>
      <c r="B233" s="76" t="n"/>
      <c r="C233" s="76" t="n"/>
      <c r="D233" s="76" t="n"/>
      <c r="E233" s="70" t="inlineStr">
        <is>
          <t>Target = PC+1 and target = PC (with exit by LR change)  [corner]</t>
        </is>
      </c>
      <c r="F233" s="71" t="inlineStr">
        <is>
          <t>Medium</t>
        </is>
      </c>
      <c r="G233" s="71" t="inlineStr">
        <is>
          <t>X</t>
        </is>
      </c>
      <c r="H233" s="71" t="inlineStr">
        <is>
          <t>X</t>
        </is>
      </c>
      <c r="I233" t="inlineStr">
        <is>
          <t>BRR</t>
        </is>
      </c>
    </row>
    <row r="234" ht="20" customHeight="1">
      <c r="A234" s="76" t="n"/>
      <c r="B234" s="76" t="n"/>
      <c r="C234" s="76" t="n"/>
      <c r="D234" s="76" t="n"/>
      <c r="E234" s="70" t="inlineStr">
        <is>
          <t>Computed jump table: LR += stride, BR LR  [standard]</t>
        </is>
      </c>
      <c r="F234" s="71" t="inlineStr">
        <is>
          <t>Medium</t>
        </is>
      </c>
      <c r="G234" s="71" t="inlineStr">
        <is>
          <t>X</t>
        </is>
      </c>
      <c r="H234" s="71" t="inlineStr">
        <is>
          <t>X</t>
        </is>
      </c>
      <c r="I234" t="inlineStr">
        <is>
          <t>BRR</t>
        </is>
      </c>
    </row>
    <row r="235" ht="20" customHeight="1">
      <c r="A235" s="77" t="n"/>
      <c r="B235" s="77" t="n"/>
      <c r="C235" s="77" t="n"/>
      <c r="D235" s="77" t="n"/>
      <c r="E235" s="70" t="inlineStr">
        <is>
          <t>BR whose target word is another branch / HALT  [corner]</t>
        </is>
      </c>
      <c r="F235" s="71" t="inlineStr">
        <is>
          <t>High</t>
        </is>
      </c>
      <c r="G235" s="71" t="inlineStr">
        <is>
          <t>X</t>
        </is>
      </c>
      <c r="H235" s="71" t="inlineStr">
        <is>
          <t>X</t>
        </is>
      </c>
      <c r="I235" t="inlineStr">
        <is>
          <t>BRR</t>
        </is>
      </c>
    </row>
    <row r="236" ht="33" customHeight="1">
      <c r="A236" s="72" t="inlineStr">
        <is>
          <t>HLT-01</t>
        </is>
      </c>
      <c r="B236" s="73" t="inlineStr">
        <is>
          <t>COND: HALT</t>
        </is>
      </c>
      <c r="C236" s="74" t="inlineStr">
        <is>
          <t>The module shall stop fetching after the HALT word and issue no further word.</t>
        </is>
      </c>
      <c r="D236" s="74" t="inlineStr">
        <is>
          <t>Spec §6.4: PC and inst$ hold; the HALT word's other slots still run.</t>
        </is>
      </c>
      <c r="E236" s="74" t="inlineStr">
        <is>
          <t>HALT after straight-line code; words after it (poisoned with LR writes / loads / bus slots) never execute  [standard]</t>
        </is>
      </c>
      <c r="F236" s="75" t="inlineStr">
        <is>
          <t>High</t>
        </is>
      </c>
      <c r="G236" s="75" t="inlineStr">
        <is>
          <t>X</t>
        </is>
      </c>
      <c r="H236" s="75" t="inlineStr">
        <is>
          <t>X</t>
        </is>
      </c>
      <c r="I236" t="inlineStr">
        <is>
          <t>HLT</t>
        </is>
      </c>
    </row>
    <row r="237" ht="33" customHeight="1">
      <c r="A237" s="76" t="n"/>
      <c r="B237" s="76" t="n"/>
      <c r="C237" s="76" t="n"/>
      <c r="D237" s="76" t="n"/>
      <c r="E237" s="74" t="inlineStr">
        <is>
          <t>No new dispatch on the four buses, xmem_read_en = 0, no LR change in the cycles after HALT  [standard]</t>
        </is>
      </c>
      <c r="F237" s="75" t="inlineStr">
        <is>
          <t>High</t>
        </is>
      </c>
      <c r="G237" s="75" t="inlineStr">
        <is>
          <t>X</t>
        </is>
      </c>
      <c r="H237" s="75" t="inlineStr">
        <is>
          <t>X</t>
        </is>
      </c>
      <c r="I237" t="inlineStr">
        <is>
          <t>HLT</t>
        </is>
      </c>
    </row>
    <row r="238" ht="20" customHeight="1">
      <c r="A238" s="77" t="n"/>
      <c r="B238" s="77" t="n"/>
      <c r="C238" s="77" t="n"/>
      <c r="D238" s="77" t="n"/>
      <c r="E238" s="74" t="inlineStr">
        <is>
          <t>HALT held for 100+ cycles – state stays frozen  [corner]</t>
        </is>
      </c>
      <c r="F238" s="75" t="inlineStr">
        <is>
          <t>Medium</t>
        </is>
      </c>
      <c r="G238" s="75" t="inlineStr">
        <is>
          <t>X</t>
        </is>
      </c>
      <c r="H238" s="75" t="inlineStr">
        <is>
          <t>X</t>
        </is>
      </c>
      <c r="I238" t="inlineStr">
        <is>
          <t>HLT</t>
        </is>
      </c>
    </row>
    <row r="239" ht="20" customHeight="1">
      <c r="A239" s="68" t="inlineStr">
        <is>
          <t>HLT-02</t>
        </is>
      </c>
      <c r="B239" s="69" t="inlineStr">
        <is>
          <t>COND: HALT</t>
        </is>
      </c>
      <c r="C239" s="70" t="inlineStr">
        <is>
          <t>The module shall execute and dispatch all other slots of the HALT word.</t>
        </is>
      </c>
      <c r="D239" s="70" t="n"/>
      <c r="E239" s="70" t="inlineStr">
        <is>
          <t>HALT word with 3 LR writes → all committed  [corner]</t>
        </is>
      </c>
      <c r="F239" s="71" t="inlineStr">
        <is>
          <t>High</t>
        </is>
      </c>
      <c r="G239" s="71" t="inlineStr">
        <is>
          <t>X</t>
        </is>
      </c>
      <c r="H239" s="71" t="inlineStr">
        <is>
          <t>X</t>
        </is>
      </c>
      <c r="I239" t="inlineStr">
        <is>
          <t>HLT</t>
        </is>
      </c>
    </row>
    <row r="240" ht="33" customHeight="1">
      <c r="A240" s="76" t="n"/>
      <c r="B240" s="76" t="n"/>
      <c r="C240" s="76" t="n"/>
      <c r="D240" s="76" t="n"/>
      <c r="E240" s="70" t="inlineStr">
        <is>
          <t>HALT word with load, MULT, ACC, AAQ, STORE slots → all dispatched once  [corner]</t>
        </is>
      </c>
      <c r="F240" s="71" t="inlineStr">
        <is>
          <t>High</t>
        </is>
      </c>
      <c r="G240" s="71" t="inlineStr">
        <is>
          <t>X</t>
        </is>
      </c>
      <c r="H240" s="71" t="inlineStr">
        <is>
          <t>X</t>
        </is>
      </c>
      <c r="I240" t="inlineStr">
        <is>
          <t>HLT</t>
        </is>
      </c>
    </row>
    <row r="241" ht="33" customHeight="1">
      <c r="A241" s="77" t="n"/>
      <c r="B241" s="77" t="n"/>
      <c r="C241" s="77" t="n"/>
      <c r="D241" s="77" t="n"/>
      <c r="E241" s="70" t="inlineStr">
        <is>
          <t>HALT word dispatched exactly once (not repeated while held)  [corner]</t>
        </is>
      </c>
      <c r="F241" s="71" t="inlineStr">
        <is>
          <t>High</t>
        </is>
      </c>
      <c r="G241" s="71" t="inlineStr">
        <is>
          <t>X</t>
        </is>
      </c>
      <c r="H241" s="71" t="inlineStr">
        <is>
          <t>X</t>
        </is>
      </c>
      <c r="I241" t="inlineStr">
        <is>
          <t>HLT</t>
        </is>
      </c>
    </row>
    <row r="242" ht="20" customHeight="1">
      <c r="A242" s="72" t="inlineStr">
        <is>
          <t>HLT-03</t>
        </is>
      </c>
      <c r="B242" s="73" t="inlineStr">
        <is>
          <t>COND: HALT</t>
        </is>
      </c>
      <c r="C242" s="74" t="inlineStr">
        <is>
          <t>The module shall handle HALT at any program position and reach it through any path.</t>
        </is>
      </c>
      <c r="D242" s="74" t="n"/>
      <c r="E242" s="74" t="inlineStr">
        <is>
          <t>HALT at PC = 0 (first word)  [corner]</t>
        </is>
      </c>
      <c r="F242" s="75" t="inlineStr">
        <is>
          <t>High</t>
        </is>
      </c>
      <c r="G242" s="75" t="inlineStr">
        <is>
          <t>X</t>
        </is>
      </c>
      <c r="H242" s="75" t="inlineStr">
        <is>
          <t>X</t>
        </is>
      </c>
      <c r="I242" t="inlineStr">
        <is>
          <t>HLT</t>
        </is>
      </c>
    </row>
    <row r="243" ht="20" customHeight="1">
      <c r="A243" s="76" t="n"/>
      <c r="B243" s="76" t="n"/>
      <c r="C243" s="76" t="n"/>
      <c r="D243" s="76" t="n"/>
      <c r="E243" s="74" t="inlineStr">
        <is>
          <t>HALT at the last bank entry (PC = 127)  [corner]</t>
        </is>
      </c>
      <c r="F243" s="75" t="inlineStr">
        <is>
          <t>High</t>
        </is>
      </c>
      <c r="G243" s="75" t="inlineStr">
        <is>
          <t>X</t>
        </is>
      </c>
      <c r="H243" s="75" t="inlineStr">
        <is>
          <t>X</t>
        </is>
      </c>
      <c r="I243" t="inlineStr">
        <is>
          <t>HLT</t>
        </is>
      </c>
    </row>
    <row r="244" ht="33" customHeight="1">
      <c r="A244" s="76" t="n"/>
      <c r="B244" s="76" t="n"/>
      <c r="C244" s="76" t="n"/>
      <c r="D244" s="76" t="n"/>
      <c r="E244" s="74" t="inlineStr">
        <is>
          <t>HALT reached by fall-through / by taken label / by BR  [standard]</t>
        </is>
      </c>
      <c r="F244" s="75" t="inlineStr">
        <is>
          <t>High</t>
        </is>
      </c>
      <c r="G244" s="75" t="inlineStr">
        <is>
          <t>X</t>
        </is>
      </c>
      <c r="H244" s="75" t="inlineStr">
        <is>
          <t>X</t>
        </is>
      </c>
      <c r="I244" t="inlineStr">
        <is>
          <t>HLT</t>
        </is>
      </c>
    </row>
    <row r="245" ht="33" customHeight="1">
      <c r="A245" s="76" t="n"/>
      <c r="B245" s="76" t="n"/>
      <c r="C245" s="76" t="n"/>
      <c r="D245" s="76" t="n"/>
      <c r="E245" s="74" t="inlineStr">
        <is>
          <t>HALT as branch target (imem_b selected) while PC+1 word is different  [corner]</t>
        </is>
      </c>
      <c r="F245" s="75" t="inlineStr">
        <is>
          <t>High</t>
        </is>
      </c>
      <c r="G245" s="75" t="inlineStr">
        <is>
          <t>X</t>
        </is>
      </c>
      <c r="H245" s="75" t="inlineStr">
        <is>
          <t>X</t>
        </is>
      </c>
      <c r="I245" t="inlineStr">
        <is>
          <t>HLT</t>
        </is>
      </c>
    </row>
    <row r="246" ht="33" customHeight="1">
      <c r="A246" s="76" t="n"/>
      <c r="B246" s="76" t="n"/>
      <c r="C246" s="76" t="n"/>
      <c r="D246" s="76" t="n"/>
      <c r="E246" s="74" t="inlineStr">
        <is>
          <t>HALT sits in the NOT-selected path of a branch → must NOT stop the kernel  [corner]</t>
        </is>
      </c>
      <c r="F246" s="75" t="inlineStr">
        <is>
          <t>High</t>
        </is>
      </c>
      <c r="G246" s="75" t="inlineStr">
        <is>
          <t>X</t>
        </is>
      </c>
      <c r="H246" s="75" t="inlineStr">
        <is>
          <t>X</t>
        </is>
      </c>
      <c r="I246" t="inlineStr">
        <is>
          <t>HLT</t>
        </is>
      </c>
    </row>
    <row r="247" ht="33" customHeight="1">
      <c r="A247" s="77" t="n"/>
      <c r="B247" s="77" t="n"/>
      <c r="C247" s="77" t="n"/>
      <c r="D247" s="77" t="n"/>
      <c r="E247" s="74" t="inlineStr">
        <is>
          <t>HALT as the word right after a branch (not taken) and right before a branch target  [corner]</t>
        </is>
      </c>
      <c r="F247" s="75" t="inlineStr">
        <is>
          <t>Medium</t>
        </is>
      </c>
      <c r="G247" s="75" t="inlineStr">
        <is>
          <t>X</t>
        </is>
      </c>
      <c r="H247" s="75" t="inlineStr">
        <is>
          <t>X</t>
        </is>
      </c>
      <c r="I247" t="inlineStr">
        <is>
          <t>HLT</t>
        </is>
      </c>
    </row>
    <row r="248" ht="33" customHeight="1">
      <c r="A248" s="68" t="inlineStr">
        <is>
          <t>HLT-04</t>
        </is>
      </c>
      <c r="B248" s="69" t="inlineStr">
        <is>
          <t>COND: HALT</t>
        </is>
      </c>
      <c r="C248" s="70" t="inlineStr">
        <is>
          <t>The module shall restart at PC 0 for the next kernel and clear the halted state.</t>
        </is>
      </c>
      <c r="D248" s="70" t="inlineStr">
        <is>
          <t>How the next kernel is started is not a CTRL port (Spec Questions Q13).</t>
        </is>
      </c>
      <c r="E248" s="70" t="inlineStr">
        <is>
          <t>Kernel, HALT, new start → runs from PC 0, fetch_stopped cleared  [standard]</t>
        </is>
      </c>
      <c r="F248" s="71" t="inlineStr">
        <is>
          <t>High</t>
        </is>
      </c>
      <c r="G248" s="71" t="inlineStr">
        <is>
          <t>X</t>
        </is>
      </c>
      <c r="H248" s="71" t="inlineStr">
        <is>
          <t>X</t>
        </is>
      </c>
      <c r="I248" t="inlineStr">
        <is>
          <t>HLT</t>
        </is>
      </c>
    </row>
    <row r="249" ht="20" customHeight="1">
      <c r="A249" s="76" t="n"/>
      <c r="B249" s="76" t="n"/>
      <c r="C249" s="76" t="n"/>
      <c r="D249" s="76" t="n"/>
      <c r="E249" s="70" t="inlineStr">
        <is>
          <t>Back-to-back kernels with different programs  [corner]</t>
        </is>
      </c>
      <c r="F249" s="71" t="inlineStr">
        <is>
          <t>Medium</t>
        </is>
      </c>
      <c r="G249" s="71" t="inlineStr">
        <is>
          <t>X</t>
        </is>
      </c>
      <c r="H249" s="71" t="inlineStr">
        <is>
          <t>X</t>
        </is>
      </c>
      <c r="I249" t="inlineStr">
        <is>
          <t>HLT</t>
        </is>
      </c>
    </row>
    <row r="250" ht="20" customHeight="1">
      <c r="A250" s="77" t="n"/>
      <c r="B250" s="77" t="n"/>
      <c r="C250" s="77" t="n"/>
      <c r="D250" s="77" t="n"/>
      <c r="E250" s="70" t="inlineStr">
        <is>
          <t>Reset after HALT  [corner]</t>
        </is>
      </c>
      <c r="F250" s="71" t="inlineStr">
        <is>
          <t>Medium</t>
        </is>
      </c>
      <c r="G250" s="71" t="inlineStr">
        <is>
          <t>X</t>
        </is>
      </c>
      <c r="H250" s="71" t="inlineStr">
        <is>
          <t>X</t>
        </is>
      </c>
      <c r="I250" t="inlineStr">
        <is>
          <t>HLT</t>
        </is>
      </c>
    </row>
    <row r="251" ht="22" customHeight="1">
      <c r="A251" s="66" t="inlineStr">
        <is>
          <t>D. FETCH / PC</t>
        </is>
      </c>
      <c r="B251" s="67" t="n"/>
      <c r="C251" s="67" t="n"/>
      <c r="D251" s="67" t="n"/>
      <c r="E251" s="67" t="n"/>
      <c r="F251" s="67" t="n"/>
      <c r="G251" s="67" t="n"/>
      <c r="H251" s="67" t="n"/>
    </row>
    <row r="252" ht="33" customHeight="1">
      <c r="A252" s="68" t="inlineStr">
        <is>
          <t>FET-01</t>
        </is>
      </c>
      <c r="B252" s="69" t="inlineStr">
        <is>
          <t>Fetch / PC</t>
        </is>
      </c>
      <c r="C252" s="70" t="inlineStr">
        <is>
          <t>The module shall execute the sequential word at PC+1 every cycle when the word is not a branch or HALT.</t>
        </is>
      </c>
      <c r="D252" s="70" t="n"/>
      <c r="E252" s="70" t="inlineStr">
        <is>
          <t>Straight-line program of N words (N = 1, 2, 10, 127)  [standard]</t>
        </is>
      </c>
      <c r="F252" s="71" t="inlineStr">
        <is>
          <t>High</t>
        </is>
      </c>
      <c r="G252" s="71" t="inlineStr">
        <is>
          <t>X</t>
        </is>
      </c>
      <c r="H252" s="71" t="inlineStr">
        <is>
          <t>X</t>
        </is>
      </c>
      <c r="I252" t="inlineStr">
        <is>
          <t>FET</t>
        </is>
      </c>
    </row>
    <row r="253" ht="20" customHeight="1">
      <c r="A253" s="77" t="n"/>
      <c r="B253" s="77" t="n"/>
      <c r="C253" s="77" t="n"/>
      <c r="D253" s="77" t="n"/>
      <c r="E253" s="70" t="inlineStr">
        <is>
          <t>Executed-PC trace equals program order  [standard]</t>
        </is>
      </c>
      <c r="F253" s="71" t="inlineStr">
        <is>
          <t>High</t>
        </is>
      </c>
      <c r="G253" s="71" t="inlineStr">
        <is>
          <t>X</t>
        </is>
      </c>
      <c r="H253" s="71" t="inlineStr">
        <is>
          <t>X</t>
        </is>
      </c>
      <c r="I253" t="inlineStr">
        <is>
          <t>FET</t>
        </is>
      </c>
    </row>
    <row r="254" ht="20" customHeight="1">
      <c r="A254" s="72" t="inlineStr">
        <is>
          <t>FET-02</t>
        </is>
      </c>
      <c r="B254" s="73" t="inlineStr">
        <is>
          <t>Fetch / PC</t>
        </is>
      </c>
      <c r="C254" s="74" t="inlineStr">
        <is>
          <t>The module shall present the correct next word in the very next cycle for both taken and not-taken branches (no bubble).</t>
        </is>
      </c>
      <c r="D254" s="74" t="inlineStr">
        <is>
          <t>Spec §5/§6: two parallel IMEM reads, taken selects.</t>
        </is>
      </c>
      <c r="E254" s="74" t="inlineStr">
        <is>
          <t>Taken branch: target executes in the next cycle  [standard]</t>
        </is>
      </c>
      <c r="F254" s="75" t="inlineStr">
        <is>
          <t>High</t>
        </is>
      </c>
      <c r="G254" s="75" t="inlineStr">
        <is>
          <t>X</t>
        </is>
      </c>
      <c r="H254" s="75" t="inlineStr">
        <is>
          <t>X</t>
        </is>
      </c>
      <c r="I254" t="inlineStr">
        <is>
          <t>FET</t>
        </is>
      </c>
    </row>
    <row r="255" ht="20" customHeight="1">
      <c r="A255" s="76" t="n"/>
      <c r="B255" s="76" t="n"/>
      <c r="C255" s="76" t="n"/>
      <c r="D255" s="76" t="n"/>
      <c r="E255" s="74" t="inlineStr">
        <is>
          <t>Not-taken branch: PC+1 executes in the next cycle  [standard]</t>
        </is>
      </c>
      <c r="F255" s="75" t="inlineStr">
        <is>
          <t>High</t>
        </is>
      </c>
      <c r="G255" s="75" t="inlineStr">
        <is>
          <t>X</t>
        </is>
      </c>
      <c r="H255" s="75" t="inlineStr">
        <is>
          <t>X</t>
        </is>
      </c>
      <c r="I255" t="inlineStr">
        <is>
          <t>FET</t>
        </is>
      </c>
    </row>
    <row r="256" ht="33" customHeight="1">
      <c r="A256" s="76" t="n"/>
      <c r="B256" s="76" t="n"/>
      <c r="C256" s="76" t="n"/>
      <c r="D256" s="76" t="n"/>
      <c r="E256" s="74" t="inlineStr">
        <is>
          <t>Cycle count of a loop with known trip count = N * body words exactly  [corner]</t>
        </is>
      </c>
      <c r="F256" s="75" t="inlineStr">
        <is>
          <t>High</t>
        </is>
      </c>
      <c r="G256" s="75" t="inlineStr">
        <is>
          <t>X</t>
        </is>
      </c>
      <c r="H256" s="75" t="inlineStr">
        <is>
          <t>X</t>
        </is>
      </c>
      <c r="I256" t="inlineStr">
        <is>
          <t>FET</t>
        </is>
      </c>
    </row>
    <row r="257" ht="20" customHeight="1">
      <c r="A257" s="77" t="n"/>
      <c r="B257" s="77" t="n"/>
      <c r="C257" s="77" t="n"/>
      <c r="D257" s="77" t="n"/>
      <c r="E257" s="74" t="inlineStr">
        <is>
          <t>Every branch opcode x taken / not-taken  [standard]</t>
        </is>
      </c>
      <c r="F257" s="75" t="inlineStr">
        <is>
          <t>High</t>
        </is>
      </c>
      <c r="G257" s="75" t="inlineStr">
        <is>
          <t>X</t>
        </is>
      </c>
      <c r="H257" s="75" t="inlineStr">
        <is>
          <t>X</t>
        </is>
      </c>
      <c r="I257" t="inlineStr">
        <is>
          <t>FET</t>
        </is>
      </c>
    </row>
    <row r="258" ht="20" customHeight="1">
      <c r="A258" s="68" t="inlineStr">
        <is>
          <t>FET-03</t>
        </is>
      </c>
      <c r="B258" s="69" t="inlineStr">
        <is>
          <t>Fetch / PC</t>
        </is>
      </c>
      <c r="C258" s="70" t="inlineStr">
        <is>
          <t>The module shall reach any target address in the active bank from a branch.</t>
        </is>
      </c>
      <c r="D258" s="70" t="inlineStr">
        <is>
          <t>Label vs relative offset must be settled (Q3).</t>
        </is>
      </c>
      <c r="E258" s="70" t="inlineStr">
        <is>
          <t>Forward and backward branches, short and long  [standard]</t>
        </is>
      </c>
      <c r="F258" s="71" t="inlineStr">
        <is>
          <t>High</t>
        </is>
      </c>
      <c r="G258" s="71" t="inlineStr">
        <is>
          <t>X</t>
        </is>
      </c>
      <c r="H258" s="71" t="inlineStr">
        <is>
          <t>X</t>
        </is>
      </c>
      <c r="I258" t="inlineStr">
        <is>
          <t>FET</t>
        </is>
      </c>
    </row>
    <row r="259" ht="20" customHeight="1">
      <c r="A259" s="76" t="n"/>
      <c r="B259" s="76" t="n"/>
      <c r="C259" s="76" t="n"/>
      <c r="D259" s="76" t="n"/>
      <c r="E259" s="70" t="inlineStr">
        <is>
          <t>Target = 0  [corner]</t>
        </is>
      </c>
      <c r="F259" s="71" t="inlineStr">
        <is>
          <t>High</t>
        </is>
      </c>
      <c r="G259" s="71" t="inlineStr">
        <is>
          <t>X</t>
        </is>
      </c>
      <c r="H259" s="71" t="inlineStr">
        <is>
          <t>X</t>
        </is>
      </c>
      <c r="I259" t="inlineStr">
        <is>
          <t>FET</t>
        </is>
      </c>
    </row>
    <row r="260" ht="20" customHeight="1">
      <c r="A260" s="76" t="n"/>
      <c r="B260" s="76" t="n"/>
      <c r="C260" s="76" t="n"/>
      <c r="D260" s="76" t="n"/>
      <c r="E260" s="70" t="inlineStr">
        <is>
          <t>Target = last entry (127)  [corner]</t>
        </is>
      </c>
      <c r="F260" s="71" t="inlineStr">
        <is>
          <t>High</t>
        </is>
      </c>
      <c r="G260" s="71" t="inlineStr">
        <is>
          <t>X</t>
        </is>
      </c>
      <c r="H260" s="71" t="inlineStr">
        <is>
          <t>X</t>
        </is>
      </c>
      <c r="I260" t="inlineStr">
        <is>
          <t>FET</t>
        </is>
      </c>
    </row>
    <row r="261" ht="33" customHeight="1">
      <c r="A261" s="76" t="n"/>
      <c r="B261" s="76" t="n"/>
      <c r="C261" s="76" t="n"/>
      <c r="D261" s="76" t="n"/>
      <c r="E261" s="70" t="inlineStr">
        <is>
          <t>Target = PC+1 (taken and not-taken land on the same word)  [corner]</t>
        </is>
      </c>
      <c r="F261" s="71" t="inlineStr">
        <is>
          <t>High</t>
        </is>
      </c>
      <c r="G261" s="71" t="inlineStr">
        <is>
          <t>X</t>
        </is>
      </c>
      <c r="H261" s="71" t="inlineStr">
        <is>
          <t>X</t>
        </is>
      </c>
      <c r="I261" t="inlineStr">
        <is>
          <t>FET</t>
        </is>
      </c>
    </row>
    <row r="262" ht="20" customHeight="1">
      <c r="A262" s="76" t="n"/>
      <c r="B262" s="76" t="n"/>
      <c r="C262" s="76" t="n"/>
      <c r="D262" s="76" t="n"/>
      <c r="E262" s="70" t="inlineStr">
        <is>
          <t>Target = PC (self loop, exit by LR condition)  [corner]</t>
        </is>
      </c>
      <c r="F262" s="71" t="inlineStr">
        <is>
          <t>High</t>
        </is>
      </c>
      <c r="G262" s="71" t="inlineStr">
        <is>
          <t>X</t>
        </is>
      </c>
      <c r="H262" s="71" t="inlineStr">
        <is>
          <t>X</t>
        </is>
      </c>
      <c r="I262" t="inlineStr">
        <is>
          <t>FET</t>
        </is>
      </c>
    </row>
    <row r="263" ht="20" customHeight="1">
      <c r="A263" s="76" t="n"/>
      <c r="B263" s="76" t="n"/>
      <c r="C263" s="76" t="n"/>
      <c r="D263" s="76" t="n"/>
      <c r="E263" s="70" t="inlineStr">
        <is>
          <t>Target = PC+2 (skip one word)  [corner]</t>
        </is>
      </c>
      <c r="F263" s="71" t="inlineStr">
        <is>
          <t>Medium</t>
        </is>
      </c>
      <c r="G263" s="71" t="inlineStr">
        <is>
          <t>X</t>
        </is>
      </c>
      <c r="H263" s="71" t="inlineStr">
        <is>
          <t>X</t>
        </is>
      </c>
      <c r="I263" t="inlineStr">
        <is>
          <t>FET</t>
        </is>
      </c>
    </row>
    <row r="264" ht="33" customHeight="1">
      <c r="A264" s="77" t="n"/>
      <c r="B264" s="77" t="n"/>
      <c r="C264" s="77" t="n"/>
      <c r="D264" s="77" t="n"/>
      <c r="E264" s="70" t="inlineStr">
        <is>
          <t>Branch at PC = 0 and at PC = 127 (with the other candidate = address 128 / 0)  [corner]</t>
        </is>
      </c>
      <c r="F264" s="71" t="inlineStr">
        <is>
          <t>High</t>
        </is>
      </c>
      <c r="G264" s="71" t="inlineStr">
        <is>
          <t>X</t>
        </is>
      </c>
      <c r="H264" s="71" t="inlineStr">
        <is>
          <t>X</t>
        </is>
      </c>
      <c r="I264" t="inlineStr">
        <is>
          <t>FET</t>
        </is>
      </c>
    </row>
    <row r="265" ht="33" customHeight="1">
      <c r="A265" s="72" t="inlineStr">
        <is>
          <t>FET-04</t>
        </is>
      </c>
      <c r="B265" s="73" t="inlineStr">
        <is>
          <t>Fetch / PC</t>
        </is>
      </c>
      <c r="C265" s="74" t="inlineStr">
        <is>
          <t>The module shall handle consecutive and chained branches.</t>
        </is>
      </c>
      <c r="D265" s="74" t="inlineStr">
        <is>
          <t>The second branch's operands and fetch candidates depend on the first resolution.</t>
        </is>
      </c>
      <c r="E265" s="74" t="inlineStr">
        <is>
          <t>Branch in word N and branch in word N+1 (PC+1 is a branch)  [corner]</t>
        </is>
      </c>
      <c r="F265" s="75" t="inlineStr">
        <is>
          <t>High</t>
        </is>
      </c>
      <c r="G265" s="75" t="inlineStr">
        <is>
          <t>X</t>
        </is>
      </c>
      <c r="H265" s="75" t="inlineStr">
        <is>
          <t>X</t>
        </is>
      </c>
      <c r="I265" t="inlineStr">
        <is>
          <t>FET</t>
        </is>
      </c>
    </row>
    <row r="266" ht="33" customHeight="1">
      <c r="A266" s="76" t="n"/>
      <c r="B266" s="76" t="n"/>
      <c r="C266" s="76" t="n"/>
      <c r="D266" s="76" t="n"/>
      <c r="E266" s="74" t="inlineStr">
        <is>
          <t>Taken branch whose target word is itself a branch (taken again / not taken)  [corner]</t>
        </is>
      </c>
      <c r="F266" s="75" t="inlineStr">
        <is>
          <t>High</t>
        </is>
      </c>
      <c r="G266" s="75" t="inlineStr">
        <is>
          <t>X</t>
        </is>
      </c>
      <c r="H266" s="75" t="inlineStr">
        <is>
          <t>X</t>
        </is>
      </c>
      <c r="I266" t="inlineStr">
        <is>
          <t>FET</t>
        </is>
      </c>
    </row>
    <row r="267" ht="20" customHeight="1">
      <c r="A267" s="76" t="n"/>
      <c r="B267" s="76" t="n"/>
      <c r="C267" s="76" t="n"/>
      <c r="D267" s="76" t="n"/>
      <c r="E267" s="74" t="inlineStr">
        <is>
          <t>Chain of 4+ branches, mixed taken / not-taken  [corner]</t>
        </is>
      </c>
      <c r="F267" s="75" t="inlineStr">
        <is>
          <t>High</t>
        </is>
      </c>
      <c r="G267" s="75" t="inlineStr">
        <is>
          <t>X</t>
        </is>
      </c>
      <c r="H267" s="75" t="inlineStr">
        <is>
          <t>X</t>
        </is>
      </c>
      <c r="I267" t="inlineStr">
        <is>
          <t>FET</t>
        </is>
      </c>
    </row>
    <row r="268" ht="20" customHeight="1">
      <c r="A268" s="76" t="n"/>
      <c r="B268" s="76" t="n"/>
      <c r="C268" s="76" t="n"/>
      <c r="D268" s="76" t="n"/>
      <c r="E268" s="74" t="inlineStr">
        <is>
          <t>BR to a BR to a conditional branch  [corner]</t>
        </is>
      </c>
      <c r="F268" s="75" t="inlineStr">
        <is>
          <t>Medium</t>
        </is>
      </c>
      <c r="G268" s="75" t="inlineStr">
        <is>
          <t>X</t>
        </is>
      </c>
      <c r="H268" s="75" t="inlineStr">
        <is>
          <t>X</t>
        </is>
      </c>
      <c r="I268" t="inlineStr">
        <is>
          <t>FET</t>
        </is>
      </c>
    </row>
    <row r="269" ht="20" customHeight="1">
      <c r="A269" s="77" t="n"/>
      <c r="B269" s="77" t="n"/>
      <c r="C269" s="77" t="n"/>
      <c r="D269" s="77" t="n"/>
      <c r="E269" s="74" t="inlineStr">
        <is>
          <t>Both candidates (PC+1 and label) are branches  [corner]</t>
        </is>
      </c>
      <c r="F269" s="75" t="inlineStr">
        <is>
          <t>Medium</t>
        </is>
      </c>
      <c r="G269" s="75" t="inlineStr">
        <is>
          <t>X</t>
        </is>
      </c>
      <c r="H269" s="75" t="inlineStr">
        <is>
          <t>X</t>
        </is>
      </c>
      <c r="I269" t="inlineStr">
        <is>
          <t>FET</t>
        </is>
      </c>
    </row>
    <row r="270" ht="20" customHeight="1">
      <c r="A270" s="68" t="inlineStr">
        <is>
          <t>FET-05</t>
        </is>
      </c>
      <c r="B270" s="69" t="inlineStr">
        <is>
          <t>Fetch / PC</t>
        </is>
      </c>
      <c r="C270" s="70" t="inlineStr">
        <is>
          <t>The module shall serve both IMEM read ports correctly when the two read addresses are equal, adjacent or far apart.</t>
        </is>
      </c>
      <c r="D270" s="70" t="inlineStr">
        <is>
          <t>Dual-read of the active bank (2R1W).</t>
        </is>
      </c>
      <c r="E270" s="70" t="inlineStr">
        <is>
          <t>label = PC+1 (both ports same entry)  [corner]</t>
        </is>
      </c>
      <c r="F270" s="71" t="inlineStr">
        <is>
          <t>Medium</t>
        </is>
      </c>
      <c r="G270" s="71" t="inlineStr">
        <is>
          <t>X</t>
        </is>
      </c>
      <c r="H270" s="71" t="inlineStr">
        <is>
          <t>X</t>
        </is>
      </c>
      <c r="I270" t="inlineStr">
        <is>
          <t>FET</t>
        </is>
      </c>
    </row>
    <row r="271" ht="20" customHeight="1">
      <c r="A271" s="76" t="n"/>
      <c r="B271" s="76" t="n"/>
      <c r="C271" s="76" t="n"/>
      <c r="D271" s="76" t="n"/>
      <c r="E271" s="70" t="inlineStr">
        <is>
          <t>label = PC+2 / PC-1 (adjacent entries)  [corner]</t>
        </is>
      </c>
      <c r="F271" s="71" t="inlineStr">
        <is>
          <t>Medium</t>
        </is>
      </c>
      <c r="G271" s="71" t="inlineStr">
        <is>
          <t>X</t>
        </is>
      </c>
      <c r="H271" s="71" t="inlineStr">
        <is>
          <t>X</t>
        </is>
      </c>
      <c r="I271" t="inlineStr">
        <is>
          <t>FET</t>
        </is>
      </c>
    </row>
    <row r="272" ht="20" customHeight="1">
      <c r="A272" s="77" t="n"/>
      <c r="B272" s="77" t="n"/>
      <c r="C272" s="77" t="n"/>
      <c r="D272" s="77" t="n"/>
      <c r="E272" s="70" t="inlineStr">
        <is>
          <t>label in lower vs upper part of the bank  [standard]</t>
        </is>
      </c>
      <c r="F272" s="71" t="inlineStr">
        <is>
          <t>Low</t>
        </is>
      </c>
      <c r="G272" s="71" t="inlineStr">
        <is>
          <t>X</t>
        </is>
      </c>
      <c r="H272" s="71" t="inlineStr">
        <is>
          <t>X</t>
        </is>
      </c>
      <c r="I272" t="inlineStr">
        <is>
          <t>FET</t>
        </is>
      </c>
    </row>
    <row r="273" ht="33" customHeight="1">
      <c r="A273" s="72" t="inlineStr">
        <is>
          <t>FET-06</t>
        </is>
      </c>
      <c r="B273" s="73" t="inlineStr">
        <is>
          <t>Fetch / PC</t>
        </is>
      </c>
      <c r="C273" s="74" t="inlineStr">
        <is>
          <t>The module shall execute loops and nested loops with LR counters.</t>
        </is>
      </c>
      <c r="D273" s="74" t="inlineStr">
        <is>
          <t>DEC/INC + BNE/BLT patterns.</t>
        </is>
      </c>
      <c r="E273" s="74" t="inlineStr">
        <is>
          <t>Single loop with trip counts 1, 2, 3, 255, 256, 1000  [standard]</t>
        </is>
      </c>
      <c r="F273" s="75" t="inlineStr">
        <is>
          <t>High</t>
        </is>
      </c>
      <c r="G273" s="75" t="inlineStr">
        <is>
          <t>X</t>
        </is>
      </c>
      <c r="H273" s="75" t="inlineStr">
        <is>
          <t>X</t>
        </is>
      </c>
      <c r="I273" t="inlineStr">
        <is>
          <t>FET</t>
        </is>
      </c>
    </row>
    <row r="274" ht="33" customHeight="1">
      <c r="A274" s="76" t="n"/>
      <c r="B274" s="76" t="n"/>
      <c r="C274" s="76" t="n"/>
      <c r="D274" s="76" t="n"/>
      <c r="E274" s="74" t="inlineStr">
        <is>
          <t>Trip count 0 on a loop guarded by a branch before the body (body skipped)  [corner]</t>
        </is>
      </c>
      <c r="F274" s="75" t="inlineStr">
        <is>
          <t>High</t>
        </is>
      </c>
      <c r="G274" s="75" t="inlineStr">
        <is>
          <t>X</t>
        </is>
      </c>
      <c r="H274" s="75" t="inlineStr">
        <is>
          <t>X</t>
        </is>
      </c>
      <c r="I274" t="inlineStr">
        <is>
          <t>FET</t>
        </is>
      </c>
    </row>
    <row r="275" ht="33" customHeight="1">
      <c r="A275" s="76" t="n"/>
      <c r="B275" s="76" t="n"/>
      <c r="C275" s="76" t="n"/>
      <c r="D275" s="76" t="n"/>
      <c r="E275" s="74" t="inlineStr">
        <is>
          <t>Nested loops 2 and 3 levels deep with independent counters  [standard]</t>
        </is>
      </c>
      <c r="F275" s="75" t="inlineStr">
        <is>
          <t>High</t>
        </is>
      </c>
      <c r="G275" s="75" t="inlineStr">
        <is>
          <t>X</t>
        </is>
      </c>
      <c r="H275" s="75" t="inlineStr">
        <is>
          <t>X</t>
        </is>
      </c>
      <c r="I275" t="inlineStr">
        <is>
          <t>FET</t>
        </is>
      </c>
    </row>
    <row r="276" ht="33" customHeight="1">
      <c r="A276" s="76" t="n"/>
      <c r="B276" s="76" t="n"/>
      <c r="C276" s="76" t="n"/>
      <c r="D276" s="76" t="n"/>
      <c r="E276" s="74" t="inlineStr">
        <is>
          <t>Loop whose body contains LR writes in all 3 lanes and a load every iteration  [standard]</t>
        </is>
      </c>
      <c r="F276" s="75" t="inlineStr">
        <is>
          <t>Medium</t>
        </is>
      </c>
      <c r="G276" s="75" t="inlineStr">
        <is>
          <t>X</t>
        </is>
      </c>
      <c r="H276" s="75" t="inlineStr">
        <is>
          <t>X</t>
        </is>
      </c>
      <c r="I276" t="inlineStr">
        <is>
          <t>FET</t>
        </is>
      </c>
    </row>
    <row r="277" ht="20" customHeight="1">
      <c r="A277" s="77" t="n"/>
      <c r="B277" s="77" t="n"/>
      <c r="C277" s="77" t="n"/>
      <c r="D277" s="77" t="n"/>
      <c r="E277" s="74" t="inlineStr">
        <is>
          <t>Loop using INC.MODP2 pointer and BLT.S exit  [standard]</t>
        </is>
      </c>
      <c r="F277" s="75" t="inlineStr">
        <is>
          <t>Medium</t>
        </is>
      </c>
      <c r="G277" s="75" t="inlineStr">
        <is>
          <t>X</t>
        </is>
      </c>
      <c r="H277" s="75" t="inlineStr">
        <is>
          <t>X</t>
        </is>
      </c>
      <c r="I277" t="inlineStr">
        <is>
          <t>FET</t>
        </is>
      </c>
    </row>
    <row r="278" ht="33" customHeight="1">
      <c r="A278" s="68" t="inlineStr">
        <is>
          <t>FET-07</t>
        </is>
      </c>
      <c r="B278" s="69" t="inlineStr">
        <is>
          <t>Fetch / PC</t>
        </is>
      </c>
      <c r="C278" s="70" t="inlineStr">
        <is>
          <t>The module shall keep inst$ coherent with IMEM[PC] every cycle.</t>
        </is>
      </c>
      <c r="D278" s="70" t="inlineStr">
        <is>
          <t>Model-based: executed-PC and executed-word trace vs reference model.</t>
        </is>
      </c>
      <c r="E278" s="70" t="inlineStr">
        <is>
          <t>Random mixed program (branches, LR ops, loads, bus slots) of 1000+ words, trace equals the model  [standard]</t>
        </is>
      </c>
      <c r="F278" s="71" t="inlineStr">
        <is>
          <t>High</t>
        </is>
      </c>
      <c r="G278" s="71" t="inlineStr">
        <is>
          <t>X</t>
        </is>
      </c>
      <c r="H278" s="71" t="inlineStr">
        <is>
          <t>X</t>
        </is>
      </c>
      <c r="I278" t="inlineStr">
        <is>
          <t>FET</t>
        </is>
      </c>
    </row>
    <row r="279" ht="33" customHeight="1">
      <c r="A279" s="76" t="n"/>
      <c r="B279" s="76" t="n"/>
      <c r="C279" s="76" t="n"/>
      <c r="D279" s="76" t="n"/>
      <c r="E279" s="70" t="inlineStr">
        <is>
          <t>Random programs with branch density 0%, 10%, 50%, 100% of words  [corner]</t>
        </is>
      </c>
      <c r="F279" s="71" t="inlineStr">
        <is>
          <t>Medium</t>
        </is>
      </c>
      <c r="G279" s="71" t="inlineStr">
        <is>
          <t>X</t>
        </is>
      </c>
      <c r="H279" s="71" t="inlineStr">
        <is>
          <t>X</t>
        </is>
      </c>
      <c r="I279" t="inlineStr">
        <is>
          <t>FET</t>
        </is>
      </c>
    </row>
    <row r="280" ht="20" customHeight="1">
      <c r="A280" s="77" t="n"/>
      <c r="B280" s="77" t="n"/>
      <c r="C280" s="77" t="n"/>
      <c r="D280" s="77" t="n"/>
      <c r="E280" s="70" t="inlineStr">
        <is>
          <t>Back-to-back kernels with a changed program  [corner]</t>
        </is>
      </c>
      <c r="F280" s="71" t="inlineStr">
        <is>
          <t>Medium</t>
        </is>
      </c>
      <c r="G280" s="71" t="inlineStr">
        <is>
          <t>X</t>
        </is>
      </c>
      <c r="H280" s="71" t="inlineStr">
        <is>
          <t>X</t>
        </is>
      </c>
      <c r="I280" t="inlineStr">
        <is>
          <t>FET</t>
        </is>
      </c>
    </row>
    <row r="281" ht="22" customHeight="1">
      <c r="A281" s="66" t="inlineStr">
        <is>
          <t>E. DISPATCH BUSES &amp; XMEM LOAD — pass-through of slot fields; only the CR/LR operand resolution is CTRL-specific</t>
        </is>
      </c>
      <c r="B281" s="67" t="n"/>
      <c r="C281" s="67" t="n"/>
      <c r="D281" s="67" t="n"/>
      <c r="E281" s="67" t="n"/>
      <c r="F281" s="67" t="n"/>
      <c r="G281" s="67" t="n"/>
      <c r="H281" s="67" t="n"/>
    </row>
    <row r="282" ht="20" customHeight="1">
      <c r="A282" s="68" t="inlineStr">
        <is>
          <t>FWD-01</t>
        </is>
      </c>
      <c r="B282" s="69" t="inlineStr">
        <is>
          <t>Dispatch buses</t>
        </is>
      </c>
      <c r="C282" s="70" t="inlineStr">
        <is>
          <t>The module shall drive each slot's fields on its own bus without modification.</t>
        </is>
      </c>
      <c r="D282" s="70" t="inlineStr">
        <is>
          <t>mult_vliw_bus, acc_vliw_bus, aaq_vliw_bus, str_vliw_bus. Low risk – content is a copy of the VLIW word.</t>
        </is>
      </c>
      <c r="E282" s="70" t="inlineStr">
        <is>
          <t>Random field values for each of the 4 slots  [standard]</t>
        </is>
      </c>
      <c r="F282" s="71" t="inlineStr">
        <is>
          <t>Medium</t>
        </is>
      </c>
      <c r="G282" s="71" t="inlineStr">
        <is>
          <t>X</t>
        </is>
      </c>
      <c r="H282" s="71" t="inlineStr">
        <is>
          <t>X</t>
        </is>
      </c>
      <c r="I282" t="inlineStr">
        <is>
          <t>FWD</t>
        </is>
      </c>
    </row>
    <row r="283" ht="20" customHeight="1">
      <c r="A283" s="76" t="n"/>
      <c r="B283" s="76" t="n"/>
      <c r="C283" s="76" t="n"/>
      <c r="D283" s="76" t="n"/>
      <c r="E283" s="70" t="inlineStr">
        <is>
          <t>All-0, all-1, walking-1 and walking-0 per slot  [corner]</t>
        </is>
      </c>
      <c r="F283" s="71" t="inlineStr">
        <is>
          <t>Low</t>
        </is>
      </c>
      <c r="G283" s="71" t="inlineStr">
        <is>
          <t>X</t>
        </is>
      </c>
      <c r="H283" s="71" t="inlineStr">
        <is>
          <t>X</t>
        </is>
      </c>
      <c r="I283" t="inlineStr">
        <is>
          <t>FWD</t>
        </is>
      </c>
    </row>
    <row r="284" ht="33" customHeight="1">
      <c r="A284" s="77" t="n"/>
      <c r="B284" s="77" t="n"/>
      <c r="C284" s="77" t="n"/>
      <c r="D284" s="77" t="n"/>
      <c r="E284" s="70" t="inlineStr">
        <is>
          <t>NOP slot → NOP on its bus, other three buses unaffected  [standard]</t>
        </is>
      </c>
      <c r="F284" s="71" t="inlineStr">
        <is>
          <t>Medium</t>
        </is>
      </c>
      <c r="G284" s="71" t="inlineStr">
        <is>
          <t>X</t>
        </is>
      </c>
      <c r="H284" s="71" t="inlineStr">
        <is>
          <t>X</t>
        </is>
      </c>
      <c r="I284" t="inlineStr">
        <is>
          <t>FWD</t>
        </is>
      </c>
    </row>
    <row r="285" ht="33" customHeight="1">
      <c r="A285" s="72" t="inlineStr">
        <is>
          <t>FWD-02</t>
        </is>
      </c>
      <c r="B285" s="73" t="inlineStr">
        <is>
          <t>Dispatch buses</t>
        </is>
      </c>
      <c r="C285" s="74" t="inlineStr">
        <is>
          <t>The module shall resolve the CR/LR operand values named by the slot fields and pack them on the bus.</t>
        </is>
      </c>
      <c r="D285" s="74" t="inlineStr">
        <is>
          <t>Index fields come from each stage's slot.</t>
        </is>
      </c>
      <c r="E285" s="74" t="inlineStr">
        <is>
          <t>Every LR index 0..15 and CR index 0..15 as operand of each of the 4 buses  [standard]</t>
        </is>
      </c>
      <c r="F285" s="75" t="inlineStr">
        <is>
          <t>High</t>
        </is>
      </c>
      <c r="G285" s="75" t="inlineStr">
        <is>
          <t>X</t>
        </is>
      </c>
      <c r="H285" s="75" t="inlineStr">
        <is>
          <t>X</t>
        </is>
      </c>
      <c r="I285" t="inlineStr">
        <is>
          <t>FWD</t>
        </is>
      </c>
    </row>
    <row r="286" ht="20" customHeight="1">
      <c r="A286" s="76" t="n"/>
      <c r="B286" s="76" t="n"/>
      <c r="C286" s="76" t="n"/>
      <c r="D286" s="76" t="n"/>
      <c r="E286" s="74" t="inlineStr">
        <is>
          <t>CR0 / CR1 operands carry 0 / 1  [corner]</t>
        </is>
      </c>
      <c r="F286" s="75" t="inlineStr">
        <is>
          <t>Medium</t>
        </is>
      </c>
      <c r="G286" s="75" t="inlineStr">
        <is>
          <t>X</t>
        </is>
      </c>
      <c r="H286" s="75" t="inlineStr">
        <is>
          <t>X</t>
        </is>
      </c>
      <c r="I286" t="inlineStr">
        <is>
          <t>FWD</t>
        </is>
      </c>
    </row>
    <row r="287" ht="33" customHeight="1">
      <c r="A287" s="77" t="n"/>
      <c r="B287" s="77" t="n"/>
      <c r="C287" s="77" t="n"/>
      <c r="D287" s="77" t="n"/>
      <c r="E287" s="74" t="inlineStr">
        <is>
          <t>Two operands in one slot referencing the same / different registers  [corner]</t>
        </is>
      </c>
      <c r="F287" s="75" t="inlineStr">
        <is>
          <t>Medium</t>
        </is>
      </c>
      <c r="G287" s="75" t="inlineStr">
        <is>
          <t>X</t>
        </is>
      </c>
      <c r="H287" s="75" t="inlineStr">
        <is>
          <t>X</t>
        </is>
      </c>
      <c r="I287" t="inlineStr">
        <is>
          <t>FWD</t>
        </is>
      </c>
    </row>
    <row r="288" ht="33" customHeight="1">
      <c r="A288" s="68" t="inlineStr">
        <is>
          <t>FWD-03</t>
        </is>
      </c>
      <c r="B288" s="69" t="inlineStr">
        <is>
          <t>Dispatch buses</t>
        </is>
      </c>
      <c r="C288" s="70" t="inlineStr">
        <is>
          <t>The module shall forward this cycle's POST-LR-write value on the buses.</t>
        </is>
      </c>
      <c r="D288" s="70" t="inlineStr">
        <is>
          <t>Spec §5/§7: opposite of CTRL's own snapshot read.</t>
        </is>
      </c>
      <c r="E288" s="70" t="inlineStr">
        <is>
          <t>LR written in the same word and read by MULT / ACC / AAQ / STORE operand → bus carries the NEW value  [corner]</t>
        </is>
      </c>
      <c r="F288" s="71" t="inlineStr">
        <is>
          <t>High</t>
        </is>
      </c>
      <c r="G288" s="71" t="inlineStr">
        <is>
          <t>X</t>
        </is>
      </c>
      <c r="H288" s="71" t="inlineStr">
        <is>
          <t>X</t>
        </is>
      </c>
      <c r="I288" t="inlineStr">
        <is>
          <t>FWD</t>
        </is>
      </c>
    </row>
    <row r="289" ht="33" customHeight="1">
      <c r="A289" s="76" t="n"/>
      <c r="B289" s="76" t="n"/>
      <c r="C289" s="76" t="n"/>
      <c r="D289" s="76" t="n"/>
      <c r="E289" s="70" t="inlineStr">
        <is>
          <t>Each of the 8 LR ops as the same-word writer × each of the 4 buses  [corner]</t>
        </is>
      </c>
      <c r="F289" s="71" t="inlineStr">
        <is>
          <t>High</t>
        </is>
      </c>
      <c r="G289" s="71" t="inlineStr">
        <is>
          <t>X</t>
        </is>
      </c>
      <c r="H289" s="71" t="inlineStr">
        <is>
          <t>X</t>
        </is>
      </c>
      <c r="I289" t="inlineStr">
        <is>
          <t>FWD</t>
        </is>
      </c>
    </row>
    <row r="290" ht="33" customHeight="1">
      <c r="A290" s="76" t="n"/>
      <c r="B290" s="76" t="n"/>
      <c r="C290" s="76" t="n"/>
      <c r="D290" s="76" t="n"/>
      <c r="E290" s="70" t="inlineStr">
        <is>
          <t>ADDB / ADDBI result: bus operand LR(n) and LR(n+1) carry post-op values  [corner]</t>
        </is>
      </c>
      <c r="F290" s="71" t="inlineStr">
        <is>
          <t>High</t>
        </is>
      </c>
      <c r="G290" s="71" t="inlineStr">
        <is>
          <t>X</t>
        </is>
      </c>
      <c r="H290" s="71" t="inlineStr">
        <is>
          <t>X</t>
        </is>
      </c>
      <c r="I290" t="inlineStr">
        <is>
          <t>FWD</t>
        </is>
      </c>
    </row>
    <row r="291" ht="20" customHeight="1">
      <c r="A291" s="77" t="n"/>
      <c r="B291" s="77" t="n"/>
      <c r="C291" s="77" t="n"/>
      <c r="D291" s="77" t="n"/>
      <c r="E291" s="70" t="inlineStr">
        <is>
          <t>Writer lane 0 / 1 / 2 × reader bus  [corner]</t>
        </is>
      </c>
      <c r="F291" s="71" t="inlineStr">
        <is>
          <t>Medium</t>
        </is>
      </c>
      <c r="G291" s="71" t="inlineStr">
        <is>
          <t>X</t>
        </is>
      </c>
      <c r="H291" s="71" t="inlineStr">
        <is>
          <t>X</t>
        </is>
      </c>
      <c r="I291" t="inlineStr">
        <is>
          <t>FWD</t>
        </is>
      </c>
    </row>
    <row r="292" ht="33" customHeight="1">
      <c r="A292" s="72" t="inlineStr">
        <is>
          <t>FWD-04</t>
        </is>
      </c>
      <c r="B292" s="73" t="inlineStr">
        <is>
          <t>Dispatch buses</t>
        </is>
      </c>
      <c r="C292" s="74" t="inlineStr">
        <is>
          <t>The module shall show snapshot semantics to CTRL and post-write semantics to the buses in the same word.</t>
        </is>
      </c>
      <c r="D292" s="74" t="inlineStr">
        <is>
          <t>One word exposes both behaviors – hardest to get right.</t>
        </is>
      </c>
      <c r="E292" s="74" t="inlineStr">
        <is>
          <t>INC LR0 5 || ADD LR1 LR0 CR1 with a MULT operand LR0 → LR1 = old LR0 + 1, bus LR0 = old + 5  [corner]</t>
        </is>
      </c>
      <c r="F292" s="75" t="inlineStr">
        <is>
          <t>High</t>
        </is>
      </c>
      <c r="G292" s="75" t="inlineStr">
        <is>
          <t>X</t>
        </is>
      </c>
      <c r="H292" s="75" t="inlineStr">
        <is>
          <t>X</t>
        </is>
      </c>
      <c r="I292" t="inlineStr">
        <is>
          <t>FWD</t>
        </is>
      </c>
    </row>
    <row r="293" ht="33" customHeight="1">
      <c r="A293" s="77" t="n"/>
      <c r="B293" s="77" t="n"/>
      <c r="C293" s="77" t="n"/>
      <c r="D293" s="77" t="n"/>
      <c r="E293" s="74" t="inlineStr">
        <is>
          <t>Same with a branch comparing LR0 (old) and a bus reading LR0 (new)  [corner]</t>
        </is>
      </c>
      <c r="F293" s="75" t="inlineStr">
        <is>
          <t>High</t>
        </is>
      </c>
      <c r="G293" s="75" t="inlineStr">
        <is>
          <t>X</t>
        </is>
      </c>
      <c r="H293" s="75" t="inlineStr">
        <is>
          <t>X</t>
        </is>
      </c>
      <c r="I293" t="inlineStr">
        <is>
          <t>FWD</t>
        </is>
      </c>
    </row>
    <row r="294" ht="33" customHeight="1">
      <c r="A294" s="68" t="inlineStr">
        <is>
          <t>FWD-05</t>
        </is>
      </c>
      <c r="B294" s="69" t="inlineStr">
        <is>
          <t>Dispatch buses</t>
        </is>
      </c>
      <c r="C294" s="70" t="inlineStr">
        <is>
          <t>The module shall present all four buses and xmem_read_* for the same VLIW word in the same cycle.</t>
        </is>
      </c>
      <c r="D294" s="70" t="n"/>
      <c r="E294" s="70" t="inlineStr">
        <is>
          <t>Every cycle of a random program: all buses and load port belong to the same word  [standard]</t>
        </is>
      </c>
      <c r="F294" s="71" t="inlineStr">
        <is>
          <t>High</t>
        </is>
      </c>
      <c r="G294" s="71" t="inlineStr">
        <is>
          <t>X</t>
        </is>
      </c>
      <c r="H294" s="71" t="inlineStr">
        <is>
          <t>X</t>
        </is>
      </c>
      <c r="I294" t="inlineStr">
        <is>
          <t>FWD</t>
        </is>
      </c>
    </row>
    <row r="295" ht="33" customHeight="1">
      <c r="A295" s="77" t="n"/>
      <c r="B295" s="77" t="n"/>
      <c r="C295" s="77" t="n"/>
      <c r="D295" s="77" t="n"/>
      <c r="E295" s="70" t="inlineStr">
        <is>
          <t>Words changing every cycle with taken branches in between (no mixing across the two candidate words)  [corner]</t>
        </is>
      </c>
      <c r="F295" s="71" t="inlineStr">
        <is>
          <t>High</t>
        </is>
      </c>
      <c r="G295" s="71" t="inlineStr">
        <is>
          <t>X</t>
        </is>
      </c>
      <c r="H295" s="71" t="inlineStr">
        <is>
          <t>X</t>
        </is>
      </c>
      <c r="I295" t="inlineStr">
        <is>
          <t>FWD</t>
        </is>
      </c>
    </row>
    <row r="296" ht="33" customHeight="1">
      <c r="A296" s="72" t="inlineStr">
        <is>
          <t>FWD-06</t>
        </is>
      </c>
      <c r="B296" s="73" t="inlineStr">
        <is>
          <t>Dispatch buses</t>
        </is>
      </c>
      <c r="C296" s="74" t="inlineStr">
        <is>
          <t>The module shall dispatch only the slots of the executed path.</t>
        </is>
      </c>
      <c r="D296" s="74" t="n"/>
      <c r="E296" s="74" t="inlineStr">
        <is>
          <t>Taken branch: slots of the PC+1 word never appear on any bus / load port  [corner]</t>
        </is>
      </c>
      <c r="F296" s="75" t="inlineStr">
        <is>
          <t>High</t>
        </is>
      </c>
      <c r="G296" s="75" t="inlineStr">
        <is>
          <t>X</t>
        </is>
      </c>
      <c r="H296" s="75" t="inlineStr">
        <is>
          <t>X</t>
        </is>
      </c>
      <c r="I296" t="inlineStr">
        <is>
          <t>FWD</t>
        </is>
      </c>
    </row>
    <row r="297" ht="33" customHeight="1">
      <c r="A297" s="76" t="n"/>
      <c r="B297" s="76" t="n"/>
      <c r="C297" s="76" t="n"/>
      <c r="D297" s="76" t="n"/>
      <c r="E297" s="74" t="inlineStr">
        <is>
          <t>Not-taken branch: slots of the label word never appear  [corner]</t>
        </is>
      </c>
      <c r="F297" s="75" t="inlineStr">
        <is>
          <t>High</t>
        </is>
      </c>
      <c r="G297" s="75" t="inlineStr">
        <is>
          <t>X</t>
        </is>
      </c>
      <c r="H297" s="75" t="inlineStr">
        <is>
          <t>X</t>
        </is>
      </c>
      <c r="I297" t="inlineStr">
        <is>
          <t>FWD</t>
        </is>
      </c>
    </row>
    <row r="298" ht="33" customHeight="1">
      <c r="A298" s="77" t="n"/>
      <c r="B298" s="77" t="n"/>
      <c r="C298" s="77" t="n"/>
      <c r="D298" s="77" t="n"/>
      <c r="E298" s="74" t="inlineStr">
        <is>
          <t>The branch word's own slots are dispatched in both cases  [corner]</t>
        </is>
      </c>
      <c r="F298" s="75" t="inlineStr">
        <is>
          <t>High</t>
        </is>
      </c>
      <c r="G298" s="75" t="inlineStr">
        <is>
          <t>X</t>
        </is>
      </c>
      <c r="H298" s="75" t="inlineStr">
        <is>
          <t>X</t>
        </is>
      </c>
      <c r="I298" t="inlineStr">
        <is>
          <t>FWD</t>
        </is>
      </c>
    </row>
    <row r="299" ht="20" customHeight="1">
      <c r="A299" s="68" t="inlineStr">
        <is>
          <t>XLD-01</t>
        </is>
      </c>
      <c r="B299" s="69" t="inlineStr">
        <is>
          <t>XMEM load address</t>
        </is>
      </c>
      <c r="C299" s="70" t="inlineStr">
        <is>
          <t>The module shall drive xmem_read_addr = CR[base_idx] + LR[offset_idx] when the load slot is non-NOP.</t>
        </is>
      </c>
      <c r="D299" s="70" t="inlineStr">
        <is>
          <t>32-bit add, then truncated to XMEM_ADDR_W.</t>
        </is>
      </c>
      <c r="E299" s="70" t="inlineStr">
        <is>
          <t>Every base idx 0..15 x every offset idx 0..15  [standard]</t>
        </is>
      </c>
      <c r="F299" s="71" t="inlineStr">
        <is>
          <t>High</t>
        </is>
      </c>
      <c r="G299" s="71" t="inlineStr">
        <is>
          <t>X</t>
        </is>
      </c>
      <c r="H299" s="71" t="inlineStr">
        <is>
          <t>X</t>
        </is>
      </c>
      <c r="I299" t="inlineStr">
        <is>
          <t>XLD</t>
        </is>
      </c>
    </row>
    <row r="300" ht="20" customHeight="1">
      <c r="A300" s="76" t="n"/>
      <c r="B300" s="76" t="n"/>
      <c r="C300" s="76" t="n"/>
      <c r="D300" s="76" t="n"/>
      <c r="E300" s="70" t="inlineStr">
        <is>
          <t>base = CR0 → addr = LR offset; offset = LR with 0  [corner]</t>
        </is>
      </c>
      <c r="F300" s="71" t="inlineStr">
        <is>
          <t>High</t>
        </is>
      </c>
      <c r="G300" s="71" t="inlineStr">
        <is>
          <t>X</t>
        </is>
      </c>
      <c r="H300" s="71" t="inlineStr">
        <is>
          <t>X</t>
        </is>
      </c>
      <c r="I300" t="inlineStr">
        <is>
          <t>XLD</t>
        </is>
      </c>
    </row>
    <row r="301" ht="20" customHeight="1">
      <c r="A301" s="76" t="n"/>
      <c r="B301" s="76" t="n"/>
      <c r="C301" s="76" t="n"/>
      <c r="D301" s="76" t="n"/>
      <c r="E301" s="70" t="inlineStr">
        <is>
          <t>base = CR1  [corner]</t>
        </is>
      </c>
      <c r="F301" s="71" t="inlineStr">
        <is>
          <t>Medium</t>
        </is>
      </c>
      <c r="G301" s="71" t="inlineStr">
        <is>
          <t>X</t>
        </is>
      </c>
      <c r="H301" s="71" t="inlineStr">
        <is>
          <t>X</t>
        </is>
      </c>
      <c r="I301" t="inlineStr">
        <is>
          <t>XLD</t>
        </is>
      </c>
    </row>
    <row r="302" ht="20" customHeight="1">
      <c r="A302" s="77" t="n"/>
      <c r="B302" s="77" t="n"/>
      <c r="C302" s="77" t="n"/>
      <c r="D302" s="77" t="n"/>
      <c r="E302" s="70" t="inlineStr">
        <is>
          <t>Random CR/LR values  [standard]</t>
        </is>
      </c>
      <c r="F302" s="71" t="inlineStr">
        <is>
          <t>Medium</t>
        </is>
      </c>
      <c r="G302" s="71" t="inlineStr">
        <is>
          <t>X</t>
        </is>
      </c>
      <c r="H302" s="71" t="inlineStr">
        <is>
          <t>X</t>
        </is>
      </c>
      <c r="I302" t="inlineStr">
        <is>
          <t>XLD</t>
        </is>
      </c>
    </row>
    <row r="303" ht="33" customHeight="1">
      <c r="A303" s="72" t="inlineStr">
        <is>
          <t>XLD-02</t>
        </is>
      </c>
      <c r="B303" s="73" t="inlineStr">
        <is>
          <t>XMEM load address</t>
        </is>
      </c>
      <c r="C303" s="74" t="inlineStr">
        <is>
          <t>The module shall use the POST-LR-write offset for the address.</t>
        </is>
      </c>
      <c r="D303" s="74" t="inlineStr">
        <is>
          <t>Spec §7.1.</t>
        </is>
      </c>
      <c r="E303" s="74" t="inlineStr">
        <is>
          <t>Same-word LR write to the offset LR (each of 8 ops, each lane) → addr uses the NEW value  [corner]</t>
        </is>
      </c>
      <c r="F303" s="75" t="inlineStr">
        <is>
          <t>High</t>
        </is>
      </c>
      <c r="G303" s="75" t="inlineStr">
        <is>
          <t>X</t>
        </is>
      </c>
      <c r="H303" s="75" t="inlineStr">
        <is>
          <t>X</t>
        </is>
      </c>
      <c r="I303" t="inlineStr">
        <is>
          <t>XLD</t>
        </is>
      </c>
    </row>
    <row r="304" ht="20" customHeight="1">
      <c r="A304" s="76" t="n"/>
      <c r="B304" s="76" t="n"/>
      <c r="C304" s="76" t="n"/>
      <c r="D304" s="76" t="n"/>
      <c r="E304" s="74" t="inlineStr">
        <is>
          <t>Write in word N-1, load in word N  [corner]</t>
        </is>
      </c>
      <c r="F304" s="75" t="inlineStr">
        <is>
          <t>High</t>
        </is>
      </c>
      <c r="G304" s="75" t="inlineStr">
        <is>
          <t>X</t>
        </is>
      </c>
      <c r="H304" s="75" t="inlineStr">
        <is>
          <t>X</t>
        </is>
      </c>
      <c r="I304" t="inlineStr">
        <is>
          <t>XLD</t>
        </is>
      </c>
    </row>
    <row r="305" ht="33" customHeight="1">
      <c r="A305" s="77" t="n"/>
      <c r="B305" s="77" t="n"/>
      <c r="C305" s="77" t="n"/>
      <c r="D305" s="77" t="n"/>
      <c r="E305" s="74" t="inlineStr">
        <is>
          <t>Same-word write to a different LR than the offset → addr unaffected  [corner]</t>
        </is>
      </c>
      <c r="F305" s="75" t="inlineStr">
        <is>
          <t>Medium</t>
        </is>
      </c>
      <c r="G305" s="75" t="inlineStr">
        <is>
          <t>X</t>
        </is>
      </c>
      <c r="H305" s="75" t="inlineStr">
        <is>
          <t>X</t>
        </is>
      </c>
      <c r="I305" t="inlineStr">
        <is>
          <t>XLD</t>
        </is>
      </c>
    </row>
    <row r="306" ht="20" customHeight="1">
      <c r="A306" s="68" t="inlineStr">
        <is>
          <t>XLD-03</t>
        </is>
      </c>
      <c r="B306" s="69" t="inlineStr">
        <is>
          <t>XMEM load address</t>
        </is>
      </c>
      <c r="C306" s="70" t="inlineStr">
        <is>
          <t>The module shall wrap / truncate the address sum correctly at the XMEM address width.</t>
        </is>
      </c>
      <c r="D306" s="70" t="inlineStr">
        <is>
          <t>XMEM_ADDR_W is implementation-defined.</t>
        </is>
      </c>
      <c r="E306" s="70" t="inlineStr">
        <is>
          <t>base + offset = 0xFFFFFFFF + 1 (32-bit wrap)  [corner]</t>
        </is>
      </c>
      <c r="F306" s="71" t="inlineStr">
        <is>
          <t>High</t>
        </is>
      </c>
      <c r="G306" s="71" t="inlineStr">
        <is>
          <t>X</t>
        </is>
      </c>
      <c r="H306" s="71" t="inlineStr">
        <is>
          <t>X</t>
        </is>
      </c>
      <c r="I306" t="inlineStr">
        <is>
          <t>XLD</t>
        </is>
      </c>
    </row>
    <row r="307" ht="33" customHeight="1">
      <c r="A307" s="76" t="n"/>
      <c r="B307" s="76" t="n"/>
      <c r="C307" s="76" t="n"/>
      <c r="D307" s="76" t="n"/>
      <c r="E307" s="70" t="inlineStr">
        <is>
          <t>Sum equals 2^XMEM_ADDR_W exactly and 2^XMEM_ADDR_W - 1 (upper bits dropped)  [corner]</t>
        </is>
      </c>
      <c r="F307" s="71" t="inlineStr">
        <is>
          <t>High</t>
        </is>
      </c>
      <c r="G307" s="71" t="inlineStr">
        <is>
          <t>X</t>
        </is>
      </c>
      <c r="H307" s="71" t="inlineStr">
        <is>
          <t>X</t>
        </is>
      </c>
      <c r="I307" t="inlineStr">
        <is>
          <t>XLD</t>
        </is>
      </c>
    </row>
    <row r="308" ht="33" customHeight="1">
      <c r="A308" s="76" t="n"/>
      <c r="B308" s="76" t="n"/>
      <c r="C308" s="76" t="n"/>
      <c r="D308" s="76" t="n"/>
      <c r="E308" s="70" t="inlineStr">
        <is>
          <t>Negative offset (LR = -1) with positive base → base - 1  [corner]</t>
        </is>
      </c>
      <c r="F308" s="71" t="inlineStr">
        <is>
          <t>High</t>
        </is>
      </c>
      <c r="G308" s="71" t="inlineStr">
        <is>
          <t>X</t>
        </is>
      </c>
      <c r="H308" s="71" t="inlineStr">
        <is>
          <t>X</t>
        </is>
      </c>
      <c r="I308" t="inlineStr">
        <is>
          <t>XLD</t>
        </is>
      </c>
    </row>
    <row r="309" ht="20" customHeight="1">
      <c r="A309" s="77" t="n"/>
      <c r="B309" s="77" t="n"/>
      <c r="C309" s="77" t="n"/>
      <c r="D309" s="77" t="n"/>
      <c r="E309" s="70" t="inlineStr">
        <is>
          <t>Address 0 (CR0 + LR0 = 0)  [corner]</t>
        </is>
      </c>
      <c r="F309" s="71" t="inlineStr">
        <is>
          <t>Medium</t>
        </is>
      </c>
      <c r="G309" s="71" t="inlineStr">
        <is>
          <t>X</t>
        </is>
      </c>
      <c r="H309" s="71" t="inlineStr">
        <is>
          <t>X</t>
        </is>
      </c>
      <c r="I309" t="inlineStr">
        <is>
          <t>XLD</t>
        </is>
      </c>
    </row>
    <row r="310" ht="20" customHeight="1">
      <c r="A310" s="72" t="inlineStr">
        <is>
          <t>XLD-04</t>
        </is>
      </c>
      <c r="B310" s="73" t="inlineStr">
        <is>
          <t>XMEM load address</t>
        </is>
      </c>
      <c r="C310" s="74" t="inlineStr">
        <is>
          <t>The module shall assert xmem_read_en only on cycles whose load slot is non-NOP.</t>
        </is>
      </c>
      <c r="D310" s="74" t="n"/>
      <c r="E310" s="74" t="inlineStr">
        <is>
          <t>NOP load → xmem_read_en = 0  [standard]</t>
        </is>
      </c>
      <c r="F310" s="75" t="inlineStr">
        <is>
          <t>High</t>
        </is>
      </c>
      <c r="G310" s="75" t="inlineStr">
        <is>
          <t>X</t>
        </is>
      </c>
      <c r="H310" s="75" t="inlineStr">
        <is>
          <t>X</t>
        </is>
      </c>
      <c r="I310" t="inlineStr">
        <is>
          <t>XLD</t>
        </is>
      </c>
    </row>
    <row r="311" ht="33" customHeight="1">
      <c r="A311" s="76" t="n"/>
      <c r="B311" s="76" t="n"/>
      <c r="C311" s="76" t="n"/>
      <c r="D311" s="76" t="n"/>
      <c r="E311" s="74" t="inlineStr">
        <is>
          <t>Load every cycle for 100 cycles: en stays 1, addr changes each cycle  [standard]</t>
        </is>
      </c>
      <c r="F311" s="75" t="inlineStr">
        <is>
          <t>High</t>
        </is>
      </c>
      <c r="G311" s="75" t="inlineStr">
        <is>
          <t>X</t>
        </is>
      </c>
      <c r="H311" s="75" t="inlineStr">
        <is>
          <t>X</t>
        </is>
      </c>
      <c r="I311" t="inlineStr">
        <is>
          <t>XLD</t>
        </is>
      </c>
    </row>
    <row r="312" ht="20" customHeight="1">
      <c r="A312" s="76" t="n"/>
      <c r="B312" s="76" t="n"/>
      <c r="C312" s="76" t="n"/>
      <c r="D312" s="76" t="n"/>
      <c r="E312" s="74" t="inlineStr">
        <is>
          <t>Alternating load / NOP; single isolated load  [corner]</t>
        </is>
      </c>
      <c r="F312" s="75" t="inlineStr">
        <is>
          <t>Medium</t>
        </is>
      </c>
      <c r="G312" s="75" t="inlineStr">
        <is>
          <t>X</t>
        </is>
      </c>
      <c r="H312" s="75" t="inlineStr">
        <is>
          <t>X</t>
        </is>
      </c>
      <c r="I312" t="inlineStr">
        <is>
          <t>XLD</t>
        </is>
      </c>
    </row>
    <row r="313" ht="20" customHeight="1">
      <c r="A313" s="77" t="n"/>
      <c r="B313" s="77" t="n"/>
      <c r="C313" s="77" t="n"/>
      <c r="D313" s="77" t="n"/>
      <c r="E313" s="74" t="inlineStr">
        <is>
          <t>No load issued in the cycles after HALT  [corner]</t>
        </is>
      </c>
      <c r="F313" s="75" t="inlineStr">
        <is>
          <t>Medium</t>
        </is>
      </c>
      <c r="G313" s="75" t="inlineStr">
        <is>
          <t>X</t>
        </is>
      </c>
      <c r="H313" s="75" t="inlineStr">
        <is>
          <t>X</t>
        </is>
      </c>
      <c r="I313" t="inlineStr">
        <is>
          <t>XLD</t>
        </is>
      </c>
    </row>
    <row r="314" ht="20" customHeight="1">
      <c r="A314" s="68" t="inlineStr">
        <is>
          <t>XLD-05</t>
        </is>
      </c>
      <c r="B314" s="69" t="inlineStr">
        <is>
          <t>XMEM load address</t>
        </is>
      </c>
      <c r="C314" s="70" t="inlineStr">
        <is>
          <t>The module shall issue the load of a branch word and of the HALT word exactly once and never the load of a non-selected candidate.</t>
        </is>
      </c>
      <c r="D314" s="70" t="n"/>
      <c r="E314" s="70" t="inlineStr">
        <is>
          <t>Load in a taken branch word / not-taken branch word  [corner]</t>
        </is>
      </c>
      <c r="F314" s="71" t="inlineStr">
        <is>
          <t>High</t>
        </is>
      </c>
      <c r="G314" s="71" t="inlineStr">
        <is>
          <t>X</t>
        </is>
      </c>
      <c r="H314" s="71" t="inlineStr">
        <is>
          <t>X</t>
        </is>
      </c>
      <c r="I314" t="inlineStr">
        <is>
          <t>XLD</t>
        </is>
      </c>
    </row>
    <row r="315" ht="20" customHeight="1">
      <c r="A315" s="76" t="n"/>
      <c r="B315" s="76" t="n"/>
      <c r="C315" s="76" t="n"/>
      <c r="D315" s="76" t="n"/>
      <c r="E315" s="70" t="inlineStr">
        <is>
          <t>Load in the HALT word  [corner]</t>
        </is>
      </c>
      <c r="F315" s="71" t="inlineStr">
        <is>
          <t>High</t>
        </is>
      </c>
      <c r="G315" s="71" t="inlineStr">
        <is>
          <t>X</t>
        </is>
      </c>
      <c r="H315" s="71" t="inlineStr">
        <is>
          <t>X</t>
        </is>
      </c>
      <c r="I315" t="inlineStr">
        <is>
          <t>XLD</t>
        </is>
      </c>
    </row>
    <row r="316" ht="33" customHeight="1">
      <c r="A316" s="77" t="n"/>
      <c r="B316" s="77" t="n"/>
      <c r="C316" s="77" t="n"/>
      <c r="D316" s="77" t="n"/>
      <c r="E316" s="70" t="inlineStr">
        <is>
          <t>Load in the not-selected candidate word → xmem_read_en = 0 for it  [corner]</t>
        </is>
      </c>
      <c r="F316" s="71" t="inlineStr">
        <is>
          <t>High</t>
        </is>
      </c>
      <c r="G316" s="71" t="inlineStr">
        <is>
          <t>X</t>
        </is>
      </c>
      <c r="H316" s="71" t="inlineStr">
        <is>
          <t>X</t>
        </is>
      </c>
      <c r="I316" t="inlineStr">
        <is>
          <t>XLD</t>
        </is>
      </c>
    </row>
    <row r="317" ht="33" customHeight="1">
      <c r="A317" s="72" t="inlineStr">
        <is>
          <t>XLD-06</t>
        </is>
      </c>
      <c r="B317" s="73" t="inlineStr">
        <is>
          <t>XMEM load address</t>
        </is>
      </c>
      <c r="C317" s="74" t="inlineStr">
        <is>
          <t>The module shall step load addresses correctly with typical kernel patterns.</t>
        </is>
      </c>
      <c r="D317" s="74" t="n"/>
      <c r="E317" s="74" t="inlineStr">
        <is>
          <t>Stride walk: INC / ADD stride each word with a load every word  [standard]</t>
        </is>
      </c>
      <c r="F317" s="75" t="inlineStr">
        <is>
          <t>Medium</t>
        </is>
      </c>
      <c r="G317" s="75" t="inlineStr">
        <is>
          <t>X</t>
        </is>
      </c>
      <c r="H317" s="75" t="inlineStr">
        <is>
          <t>X</t>
        </is>
      </c>
      <c r="I317" t="inlineStr">
        <is>
          <t>XLD</t>
        </is>
      </c>
    </row>
    <row r="318" ht="33" customHeight="1">
      <c r="A318" s="77" t="n"/>
      <c r="B318" s="77" t="n"/>
      <c r="C318" s="77" t="n"/>
      <c r="D318" s="77" t="n"/>
      <c r="E318" s="74" t="inlineStr">
        <is>
          <t>Circular buffer: INC.MODP2 pointer + load, &gt; 2^k iterations  [standard]</t>
        </is>
      </c>
      <c r="F318" s="75" t="inlineStr">
        <is>
          <t>Medium</t>
        </is>
      </c>
      <c r="G318" s="75" t="inlineStr">
        <is>
          <t>X</t>
        </is>
      </c>
      <c r="H318" s="75" t="inlineStr">
        <is>
          <t>X</t>
        </is>
      </c>
      <c r="I318" t="inlineStr">
        <is>
          <t>XLD</t>
        </is>
      </c>
    </row>
    <row r="319" ht="22" customHeight="1">
      <c r="A319" s="66" t="inlineStr">
        <is>
          <t>F. SPEC-DEPENDENT — behavior the spec does not define yet (do NOT put into regression before the designer answers; see 'Spec Questions')</t>
        </is>
      </c>
      <c r="B319" s="67" t="n"/>
      <c r="C319" s="67" t="n"/>
      <c r="D319" s="67" t="n"/>
      <c r="E319" s="67" t="n"/>
      <c r="F319" s="67" t="n"/>
      <c r="G319" s="67" t="n"/>
      <c r="H319" s="67" t="n"/>
    </row>
    <row r="320" ht="20" customHeight="1">
      <c r="A320" s="68" t="inlineStr">
        <is>
          <t>ILL-01</t>
        </is>
      </c>
      <c r="B320" s="69" t="inlineStr">
        <is>
          <t>Illegal / undefined (spec TBD)</t>
        </is>
      </c>
      <c r="C320" s="70" t="inlineStr">
        <is>
          <t>The module shall behave deterministically (to be defined) when two lanes target the same destination LR.</t>
        </is>
      </c>
      <c r="D320" s="70" t="inlineStr">
        <is>
          <t>Spec forbids it but defines no hardware behavior. Probe to learn the priority rule; then convert to a checker.</t>
        </is>
      </c>
      <c r="E320" s="70" t="inlineStr">
        <is>
          <t>Lanes 0+1, 0+2, 1+2 same dest, different values  [corner]</t>
        </is>
      </c>
      <c r="F320" s="71" t="inlineStr">
        <is>
          <t>Medium</t>
        </is>
      </c>
      <c r="G320" s="71" t="inlineStr">
        <is>
          <t>X</t>
        </is>
      </c>
      <c r="H320" s="71" t="inlineStr">
        <is>
          <t>X</t>
        </is>
      </c>
      <c r="I320" t="inlineStr">
        <is>
          <t>ILL</t>
        </is>
      </c>
    </row>
    <row r="321" ht="20" customHeight="1">
      <c r="A321" s="76" t="n"/>
      <c r="B321" s="76" t="n"/>
      <c r="C321" s="76" t="n"/>
      <c r="D321" s="76" t="n"/>
      <c r="E321" s="70" t="inlineStr">
        <is>
          <t>All three lanes same dest  [corner]</t>
        </is>
      </c>
      <c r="F321" s="71" t="inlineStr">
        <is>
          <t>Low</t>
        </is>
      </c>
      <c r="G321" s="71" t="inlineStr">
        <is>
          <t>X</t>
        </is>
      </c>
      <c r="H321" s="71" t="inlineStr">
        <is>
          <t>X</t>
        </is>
      </c>
      <c r="I321" t="inlineStr">
        <is>
          <t>ILL</t>
        </is>
      </c>
    </row>
    <row r="322" ht="20" customHeight="1">
      <c r="A322" s="77" t="n"/>
      <c r="B322" s="77" t="n"/>
      <c r="C322" s="77" t="n"/>
      <c r="D322" s="77" t="n"/>
      <c r="E322" s="70" t="inlineStr">
        <is>
          <t>Same dest with different opcodes (SET vs ADD vs INC)  [corner]</t>
        </is>
      </c>
      <c r="F322" s="71" t="inlineStr">
        <is>
          <t>Low</t>
        </is>
      </c>
      <c r="G322" s="71" t="inlineStr">
        <is>
          <t>X</t>
        </is>
      </c>
      <c r="H322" s="71" t="inlineStr">
        <is>
          <t>X</t>
        </is>
      </c>
      <c r="I322" t="inlineStr">
        <is>
          <t>ILL</t>
        </is>
      </c>
    </row>
    <row r="323" ht="23" customHeight="1">
      <c r="A323" s="72" t="inlineStr">
        <is>
          <t>ILL-02</t>
        </is>
      </c>
      <c r="B323" s="73" t="inlineStr">
        <is>
          <t>Illegal / undefined (spec TBD)</t>
        </is>
      </c>
      <c r="C323" s="74" t="inlineStr">
        <is>
          <t>The module shall behave deterministically (to be defined) when ADDB/ADDBI LRDn overlaps another lane's destination.</t>
        </is>
      </c>
      <c r="D323" s="74" t="inlineStr">
        <is>
          <t>LRDn writes LR(n) and LR(n+1).</t>
        </is>
      </c>
      <c r="E323" s="74" t="inlineStr">
        <is>
          <t>ADDB LRDn + lane writes LR(n); + lane writes LR(n+1)  [corner]</t>
        </is>
      </c>
      <c r="F323" s="75" t="inlineStr">
        <is>
          <t>Medium</t>
        </is>
      </c>
      <c r="G323" s="75" t="inlineStr">
        <is>
          <t>X</t>
        </is>
      </c>
      <c r="H323" s="75" t="inlineStr">
        <is>
          <t>X</t>
        </is>
      </c>
      <c r="I323" t="inlineStr">
        <is>
          <t>ILL</t>
        </is>
      </c>
    </row>
    <row r="324" ht="23" customHeight="1">
      <c r="A324" s="77" t="n"/>
      <c r="B324" s="77" t="n"/>
      <c r="C324" s="77" t="n"/>
      <c r="D324" s="77" t="n"/>
      <c r="E324" s="74" t="inlineStr">
        <is>
          <t>Two ADDB with the same pair; ADDB LRDn + ADDBI LRDn  [corner]</t>
        </is>
      </c>
      <c r="F324" s="75" t="inlineStr">
        <is>
          <t>Low</t>
        </is>
      </c>
      <c r="G324" s="75" t="inlineStr">
        <is>
          <t>X</t>
        </is>
      </c>
      <c r="H324" s="75" t="inlineStr">
        <is>
          <t>X</t>
        </is>
      </c>
      <c r="I324" t="inlineStr">
        <is>
          <t>ILL</t>
        </is>
      </c>
    </row>
    <row r="325" ht="46" customHeight="1">
      <c r="A325" s="68" t="inlineStr">
        <is>
          <t>ILL-03</t>
        </is>
      </c>
      <c r="B325" s="69" t="inlineStr">
        <is>
          <t>Illegal / undefined (spec TBD)</t>
        </is>
      </c>
      <c r="C325" s="70" t="inlineStr">
        <is>
          <t>The module shall behave deterministically (to be defined) for INC.MODP2 with encoded k in 9..15.</t>
        </is>
      </c>
      <c r="D325" s="70" t="inlineStr">
        <is>
          <t>Semantic range is 1..9.</t>
        </is>
      </c>
      <c r="E325" s="70" t="inlineStr">
        <is>
          <t>Encoded k = 9..15 → mask applied or ignored? (compare with the spec answer)  [corner]</t>
        </is>
      </c>
      <c r="F325" s="71" t="inlineStr">
        <is>
          <t>Low</t>
        </is>
      </c>
      <c r="G325" s="71" t="inlineStr">
        <is>
          <t>X</t>
        </is>
      </c>
      <c r="H325" s="71" t="inlineStr">
        <is>
          <t>X</t>
        </is>
      </c>
      <c r="I325" t="inlineStr">
        <is>
          <t>ILL</t>
        </is>
      </c>
    </row>
    <row r="326" ht="33" customHeight="1">
      <c r="A326" s="72" t="inlineStr">
        <is>
          <t>ILL-04</t>
        </is>
      </c>
      <c r="B326" s="73" t="inlineStr">
        <is>
          <t>Illegal / undefined (spec TBD)</t>
        </is>
      </c>
      <c r="C326" s="74" t="inlineStr">
        <is>
          <t>The module shall behave deterministically (to be defined) when the PC leaves the active bank.</t>
        </is>
      </c>
      <c r="D326" s="74" t="inlineStr">
        <is>
          <t>PC_W = 7 bits, bank depth 128.</t>
        </is>
      </c>
      <c r="E326" s="74" t="inlineStr">
        <is>
          <t>Last entry 127 with no HALT / branch → PC+1 = 128: wraps to 0? stops?  [corner]</t>
        </is>
      </c>
      <c r="F326" s="75" t="inlineStr">
        <is>
          <t>Medium</t>
        </is>
      </c>
      <c r="G326" s="75" t="inlineStr">
        <is>
          <t>X</t>
        </is>
      </c>
      <c r="H326" s="75" t="inlineStr">
        <is>
          <t>X</t>
        </is>
      </c>
      <c r="I326" t="inlineStr">
        <is>
          <t>ILL</t>
        </is>
      </c>
    </row>
    <row r="327" ht="20" customHeight="1">
      <c r="A327" s="76" t="n"/>
      <c r="B327" s="76" t="n"/>
      <c r="C327" s="76" t="n"/>
      <c r="D327" s="76" t="n"/>
      <c r="E327" s="74" t="inlineStr">
        <is>
          <t>Label / BR value &gt;= 128  [corner]</t>
        </is>
      </c>
      <c r="F327" s="75" t="inlineStr">
        <is>
          <t>Medium</t>
        </is>
      </c>
      <c r="G327" s="75" t="inlineStr">
        <is>
          <t>X</t>
        </is>
      </c>
      <c r="H327" s="75" t="inlineStr">
        <is>
          <t>X</t>
        </is>
      </c>
      <c r="I327" t="inlineStr">
        <is>
          <t>ILL</t>
        </is>
      </c>
    </row>
    <row r="328" ht="20" customHeight="1">
      <c r="A328" s="77" t="n"/>
      <c r="B328" s="77" t="n"/>
      <c r="C328" s="77" t="n"/>
      <c r="D328" s="77" t="n"/>
      <c r="E328" s="74" t="inlineStr">
        <is>
          <t>Execution of an entry never written by the host  [corner]</t>
        </is>
      </c>
      <c r="F328" s="75" t="inlineStr">
        <is>
          <t>Low</t>
        </is>
      </c>
      <c r="G328" s="75" t="inlineStr">
        <is>
          <t>X</t>
        </is>
      </c>
      <c r="H328" s="75" t="inlineStr">
        <is>
          <t>X</t>
        </is>
      </c>
      <c r="I328" t="inlineStr">
        <is>
          <t>ILL</t>
        </is>
      </c>
    </row>
    <row r="329" ht="20" customHeight="1">
      <c r="A329" s="68" t="inlineStr">
        <is>
          <t>MEM-01</t>
        </is>
      </c>
      <c r="B329" s="69" t="inlineStr">
        <is>
          <t>Memory wait (spec TBD)</t>
        </is>
      </c>
      <c r="C329" s="70" t="inlineStr">
        <is>
          <t>[PLACEHOLDER] The module shall define its behavior when XMEM data is not ready (wait / stall).</t>
        </is>
      </c>
      <c r="D329" s="70" t="inlineStr">
        <is>
          <t>Spec text mentions 'bubble' and 'xmem_read_en deasserted ... during any bubble (§9.2)', but §9 says there are no interlocks and §9.2 does not exist. Fill in when the spec is updated.</t>
        </is>
      </c>
      <c r="E329" s="70" t="inlineStr">
        <is>
          <t>[TBD-spec] PC and inst$ hold during the wait  [corner]</t>
        </is>
      </c>
      <c r="F329" s="71" t="inlineStr">
        <is>
          <t>High</t>
        </is>
      </c>
      <c r="G329" s="71" t="inlineStr">
        <is>
          <t>X</t>
        </is>
      </c>
      <c r="H329" s="71" t="inlineStr">
        <is>
          <t>X</t>
        </is>
      </c>
      <c r="I329" t="inlineStr">
        <is>
          <t>MEM</t>
        </is>
      </c>
    </row>
    <row r="330" ht="46" customHeight="1">
      <c r="A330" s="76" t="n"/>
      <c r="B330" s="76" t="n"/>
      <c r="C330" s="76" t="n"/>
      <c r="D330" s="76" t="n"/>
      <c r="E330" s="70" t="inlineStr">
        <is>
          <t>[TBD-spec] LR writes of the stalled word are committed exactly ONCE (INC / DEC / ADDB must not re-apply while the word is held)  [corner]</t>
        </is>
      </c>
      <c r="F330" s="71" t="inlineStr">
        <is>
          <t>High</t>
        </is>
      </c>
      <c r="G330" s="71" t="inlineStr">
        <is>
          <t>X</t>
        </is>
      </c>
      <c r="H330" s="71" t="inlineStr">
        <is>
          <t>X</t>
        </is>
      </c>
      <c r="I330" t="inlineStr">
        <is>
          <t>MEM</t>
        </is>
      </c>
    </row>
    <row r="331" ht="33" customHeight="1">
      <c r="A331" s="76" t="n"/>
      <c r="B331" s="76" t="n"/>
      <c r="C331" s="76" t="n"/>
      <c r="D331" s="76" t="n"/>
      <c r="E331" s="70" t="inlineStr">
        <is>
          <t>[TBD-spec] Dispatch buses carry NOP / hold, no duplicate dispatch of the stalled word  [corner]</t>
        </is>
      </c>
      <c r="F331" s="71" t="inlineStr">
        <is>
          <t>High</t>
        </is>
      </c>
      <c r="G331" s="71" t="inlineStr">
        <is>
          <t>X</t>
        </is>
      </c>
      <c r="H331" s="71" t="inlineStr">
        <is>
          <t>X</t>
        </is>
      </c>
      <c r="I331" t="inlineStr">
        <is>
          <t>MEM</t>
        </is>
      </c>
    </row>
    <row r="332" ht="20" customHeight="1">
      <c r="A332" s="76" t="n"/>
      <c r="B332" s="76" t="n"/>
      <c r="C332" s="76" t="n"/>
      <c r="D332" s="76" t="n"/>
      <c r="E332" s="70" t="inlineStr">
        <is>
          <t>[TBD-spec] xmem_read_en during the stall  [corner]</t>
        </is>
      </c>
      <c r="F332" s="71" t="inlineStr">
        <is>
          <t>High</t>
        </is>
      </c>
      <c r="G332" s="71" t="inlineStr">
        <is>
          <t>X</t>
        </is>
      </c>
      <c r="H332" s="71" t="inlineStr">
        <is>
          <t>X</t>
        </is>
      </c>
      <c r="I332" t="inlineStr">
        <is>
          <t>MEM</t>
        </is>
      </c>
    </row>
    <row r="333" ht="33" customHeight="1">
      <c r="A333" s="76" t="n"/>
      <c r="B333" s="76" t="n"/>
      <c r="C333" s="76" t="n"/>
      <c r="D333" s="76" t="n"/>
      <c r="E333" s="70" t="inlineStr">
        <is>
          <t>[TBD-spec] Branch word stalled: fetch candidates and resolution unchanged after release  [corner]</t>
        </is>
      </c>
      <c r="F333" s="71" t="inlineStr">
        <is>
          <t>High</t>
        </is>
      </c>
      <c r="G333" s="71" t="inlineStr">
        <is>
          <t>X</t>
        </is>
      </c>
      <c r="H333" s="71" t="inlineStr">
        <is>
          <t>X</t>
        </is>
      </c>
      <c r="I333" t="inlineStr">
        <is>
          <t>MEM</t>
        </is>
      </c>
    </row>
    <row r="334" ht="33" customHeight="1">
      <c r="A334" s="76" t="n"/>
      <c r="B334" s="76" t="n"/>
      <c r="C334" s="76" t="n"/>
      <c r="D334" s="76" t="n"/>
      <c r="E334" s="70" t="inlineStr">
        <is>
          <t>[TBD-spec] Stall on the HALT word; stall on the first / last word of a loop  [corner]</t>
        </is>
      </c>
      <c r="F334" s="71" t="inlineStr">
        <is>
          <t>Medium</t>
        </is>
      </c>
      <c r="G334" s="71" t="inlineStr">
        <is>
          <t>X</t>
        </is>
      </c>
      <c r="H334" s="71" t="inlineStr">
        <is>
          <t>X</t>
        </is>
      </c>
      <c r="I334" t="inlineStr">
        <is>
          <t>MEM</t>
        </is>
      </c>
    </row>
    <row r="335" ht="20" customHeight="1">
      <c r="A335" s="77" t="n"/>
      <c r="B335" s="77" t="n"/>
      <c r="C335" s="77" t="n"/>
      <c r="D335" s="77" t="n"/>
      <c r="E335" s="70" t="inlineStr">
        <is>
          <t>[TBD-spec] Reset during a stall  [corner]</t>
        </is>
      </c>
      <c r="F335" s="71" t="inlineStr">
        <is>
          <t>Medium</t>
        </is>
      </c>
      <c r="G335" s="71" t="inlineStr">
        <is>
          <t>X</t>
        </is>
      </c>
      <c r="H335" s="71" t="inlineStr">
        <is>
          <t>X</t>
        </is>
      </c>
      <c r="I335" t="inlineStr">
        <is>
          <t>MEM</t>
        </is>
      </c>
    </row>
  </sheetData>
  <autoFilter ref="A5:H335"/>
  <mergeCells count="317">
    <mergeCell ref="D303:D305"/>
    <mergeCell ref="B270:B272"/>
    <mergeCell ref="C61:C67"/>
    <mergeCell ref="B68:B72"/>
    <mergeCell ref="A265:A269"/>
    <mergeCell ref="A155:A157"/>
    <mergeCell ref="C155:C157"/>
    <mergeCell ref="B221:B229"/>
    <mergeCell ref="B127:B130"/>
    <mergeCell ref="D127:D130"/>
    <mergeCell ref="D102:D105"/>
    <mergeCell ref="D160:D162"/>
    <mergeCell ref="C57:C60"/>
    <mergeCell ref="A299:A302"/>
    <mergeCell ref="D185:D189"/>
    <mergeCell ref="A236:A238"/>
    <mergeCell ref="B140:B141"/>
    <mergeCell ref="D140:D141"/>
    <mergeCell ref="D236:D238"/>
    <mergeCell ref="D68:D72"/>
    <mergeCell ref="A211:A220"/>
    <mergeCell ref="A119:A122"/>
    <mergeCell ref="A158:A159"/>
    <mergeCell ref="C306:C309"/>
    <mergeCell ref="A314:A316"/>
    <mergeCell ref="C314:C316"/>
    <mergeCell ref="B296:B298"/>
    <mergeCell ref="A172:A174"/>
    <mergeCell ref="C172:C174"/>
    <mergeCell ref="A140:A141"/>
    <mergeCell ref="C140:C141"/>
    <mergeCell ref="B168:B169"/>
    <mergeCell ref="D168:D169"/>
    <mergeCell ref="D197:D204"/>
    <mergeCell ref="B43:B49"/>
    <mergeCell ref="D239:D241"/>
    <mergeCell ref="B61:B67"/>
    <mergeCell ref="D61:D67"/>
    <mergeCell ref="A163:A165"/>
    <mergeCell ref="C163:C165"/>
    <mergeCell ref="D136:D137"/>
    <mergeCell ref="C85:C88"/>
    <mergeCell ref="C127:C130"/>
    <mergeCell ref="D288:D291"/>
    <mergeCell ref="C160:C162"/>
    <mergeCell ref="B57:B60"/>
    <mergeCell ref="A142:A146"/>
    <mergeCell ref="D57:D60"/>
    <mergeCell ref="B299:B302"/>
    <mergeCell ref="A320:A322"/>
    <mergeCell ref="A254:A257"/>
    <mergeCell ref="A139:H139"/>
    <mergeCell ref="C185:C189"/>
    <mergeCell ref="D181:D184"/>
    <mergeCell ref="A175:A180"/>
    <mergeCell ref="B123:B126"/>
    <mergeCell ref="D123:D126"/>
    <mergeCell ref="C236:C238"/>
    <mergeCell ref="B211:B220"/>
    <mergeCell ref="A281:H281"/>
    <mergeCell ref="D221:D229"/>
    <mergeCell ref="A147:A151"/>
    <mergeCell ref="B236:B238"/>
    <mergeCell ref="A242:A247"/>
    <mergeCell ref="A43:A49"/>
    <mergeCell ref="C33:C37"/>
    <mergeCell ref="D80:D84"/>
    <mergeCell ref="C136:C137"/>
    <mergeCell ref="C323:C324"/>
    <mergeCell ref="B73:B75"/>
    <mergeCell ref="A20:A25"/>
    <mergeCell ref="A326:A328"/>
    <mergeCell ref="B85:B88"/>
    <mergeCell ref="D85:D88"/>
    <mergeCell ref="A288:A291"/>
    <mergeCell ref="A221:A229"/>
    <mergeCell ref="C288:C291"/>
    <mergeCell ref="C92:C95"/>
    <mergeCell ref="A6:H6"/>
    <mergeCell ref="B117:B118"/>
    <mergeCell ref="C242:C247"/>
    <mergeCell ref="D323:D324"/>
    <mergeCell ref="C285:C287"/>
    <mergeCell ref="C89:C91"/>
    <mergeCell ref="C123:C126"/>
    <mergeCell ref="B190:B192"/>
    <mergeCell ref="B152:B154"/>
    <mergeCell ref="B205:B210"/>
    <mergeCell ref="D230:D235"/>
    <mergeCell ref="D205:D210"/>
    <mergeCell ref="A117:A118"/>
    <mergeCell ref="C221:C229"/>
    <mergeCell ref="B285:B287"/>
    <mergeCell ref="C296:C298"/>
    <mergeCell ref="D310:D313"/>
    <mergeCell ref="C230:C235"/>
    <mergeCell ref="B163:B165"/>
    <mergeCell ref="B33:B37"/>
    <mergeCell ref="D33:D37"/>
    <mergeCell ref="C248:C250"/>
    <mergeCell ref="D190:D192"/>
    <mergeCell ref="A73:A75"/>
    <mergeCell ref="B92:B95"/>
    <mergeCell ref="D92:D95"/>
    <mergeCell ref="B326:B328"/>
    <mergeCell ref="B158:B159"/>
    <mergeCell ref="D296:D298"/>
    <mergeCell ref="C317:C318"/>
    <mergeCell ref="C292:C293"/>
    <mergeCell ref="C294:C295"/>
    <mergeCell ref="B242:B247"/>
    <mergeCell ref="D193:D195"/>
    <mergeCell ref="B102:B105"/>
    <mergeCell ref="B89:B91"/>
    <mergeCell ref="D285:D287"/>
    <mergeCell ref="D89:D91"/>
    <mergeCell ref="C43:C49"/>
    <mergeCell ref="A190:A192"/>
    <mergeCell ref="A50:A53"/>
    <mergeCell ref="A152:A154"/>
    <mergeCell ref="C50:C53"/>
    <mergeCell ref="A205:A210"/>
    <mergeCell ref="D76:D79"/>
    <mergeCell ref="C205:C210"/>
    <mergeCell ref="A251:H251"/>
    <mergeCell ref="A193:A195"/>
    <mergeCell ref="A61:A67"/>
    <mergeCell ref="C299:C302"/>
    <mergeCell ref="A319:H319"/>
    <mergeCell ref="B136:B137"/>
    <mergeCell ref="C329:C335"/>
    <mergeCell ref="D273:D277"/>
    <mergeCell ref="C190:C192"/>
    <mergeCell ref="A68:A72"/>
    <mergeCell ref="D306:D309"/>
    <mergeCell ref="B185:B189"/>
    <mergeCell ref="B317:B318"/>
    <mergeCell ref="D317:D318"/>
    <mergeCell ref="D292:D293"/>
    <mergeCell ref="D294:D295"/>
    <mergeCell ref="A127:A130"/>
    <mergeCell ref="A89:A91"/>
    <mergeCell ref="A282:A284"/>
    <mergeCell ref="A160:A162"/>
    <mergeCell ref="C282:C284"/>
    <mergeCell ref="A185:A189"/>
    <mergeCell ref="B50:B53"/>
    <mergeCell ref="A252:A253"/>
    <mergeCell ref="C14:C19"/>
    <mergeCell ref="C252:C253"/>
    <mergeCell ref="A196:H196"/>
    <mergeCell ref="A38:A42"/>
    <mergeCell ref="C38:C42"/>
    <mergeCell ref="B320:B322"/>
    <mergeCell ref="D320:D322"/>
    <mergeCell ref="D314:D316"/>
    <mergeCell ref="D329:D335"/>
    <mergeCell ref="A181:A184"/>
    <mergeCell ref="C181:C184"/>
    <mergeCell ref="C193:C195"/>
    <mergeCell ref="A102:A105"/>
    <mergeCell ref="C102:C105"/>
    <mergeCell ref="B230:B235"/>
    <mergeCell ref="C270:C272"/>
    <mergeCell ref="A13:H13"/>
    <mergeCell ref="D50:D53"/>
    <mergeCell ref="B170:B171"/>
    <mergeCell ref="C100:C101"/>
    <mergeCell ref="C20:C25"/>
    <mergeCell ref="B193:B195"/>
    <mergeCell ref="D26:D32"/>
    <mergeCell ref="D172:D174"/>
    <mergeCell ref="C54:C56"/>
    <mergeCell ref="B282:B284"/>
    <mergeCell ref="A57:A60"/>
    <mergeCell ref="D282:D284"/>
    <mergeCell ref="D248:D250"/>
    <mergeCell ref="B20:B25"/>
    <mergeCell ref="A239:A241"/>
    <mergeCell ref="D20:D25"/>
    <mergeCell ref="B252:B253"/>
    <mergeCell ref="D14:D19"/>
    <mergeCell ref="D252:D253"/>
    <mergeCell ref="D211:D220"/>
    <mergeCell ref="D119:D122"/>
    <mergeCell ref="A123:A126"/>
    <mergeCell ref="D158:D159"/>
    <mergeCell ref="A303:A305"/>
    <mergeCell ref="A310:A313"/>
    <mergeCell ref="C303:C305"/>
    <mergeCell ref="C310:C313"/>
    <mergeCell ref="D152:D154"/>
    <mergeCell ref="B38:B42"/>
    <mergeCell ref="A278:A280"/>
    <mergeCell ref="C278:C280"/>
    <mergeCell ref="D170:D171"/>
    <mergeCell ref="B111:B116"/>
    <mergeCell ref="B181:B184"/>
    <mergeCell ref="B175:B180"/>
    <mergeCell ref="B131:B135"/>
    <mergeCell ref="B106:B110"/>
    <mergeCell ref="D175:D180"/>
    <mergeCell ref="D131:D135"/>
    <mergeCell ref="D270:D272"/>
    <mergeCell ref="B310:B313"/>
    <mergeCell ref="B278:B280"/>
    <mergeCell ref="D163:D165"/>
    <mergeCell ref="C265:C269"/>
    <mergeCell ref="A170:A171"/>
    <mergeCell ref="A248:A250"/>
    <mergeCell ref="C170:C171"/>
    <mergeCell ref="A80:A84"/>
    <mergeCell ref="A273:A277"/>
    <mergeCell ref="B100:B101"/>
    <mergeCell ref="B323:B324"/>
    <mergeCell ref="A1:H1"/>
    <mergeCell ref="B54:B56"/>
    <mergeCell ref="D54:D56"/>
    <mergeCell ref="A317:A318"/>
    <mergeCell ref="D254:D257"/>
    <mergeCell ref="D111:D116"/>
    <mergeCell ref="B166:B167"/>
    <mergeCell ref="D166:D167"/>
    <mergeCell ref="A292:A293"/>
    <mergeCell ref="B265:B269"/>
    <mergeCell ref="D265:D269"/>
    <mergeCell ref="A294:A295"/>
    <mergeCell ref="A100:A101"/>
    <mergeCell ref="A323:A324"/>
    <mergeCell ref="C211:C220"/>
    <mergeCell ref="C119:C122"/>
    <mergeCell ref="C158:C159"/>
    <mergeCell ref="B303:B305"/>
    <mergeCell ref="C152:C154"/>
    <mergeCell ref="C142:C146"/>
    <mergeCell ref="D258:D264"/>
    <mergeCell ref="C80:C84"/>
    <mergeCell ref="D100:D101"/>
    <mergeCell ref="D278:D280"/>
    <mergeCell ref="B76:B79"/>
    <mergeCell ref="A230:A235"/>
    <mergeCell ref="B147:B151"/>
    <mergeCell ref="D147:D151"/>
    <mergeCell ref="A111:A116"/>
    <mergeCell ref="C273:C277"/>
    <mergeCell ref="A131:A135"/>
    <mergeCell ref="A106:A110"/>
    <mergeCell ref="D43:D49"/>
    <mergeCell ref="C131:C135"/>
    <mergeCell ref="C106:C110"/>
    <mergeCell ref="C175:C180"/>
    <mergeCell ref="A258:A264"/>
    <mergeCell ref="C258:C264"/>
    <mergeCell ref="B160:B162"/>
    <mergeCell ref="A76:A79"/>
    <mergeCell ref="C76:C79"/>
    <mergeCell ref="C73:C75"/>
    <mergeCell ref="A329:A335"/>
    <mergeCell ref="B273:B277"/>
    <mergeCell ref="B306:B309"/>
    <mergeCell ref="A92:A95"/>
    <mergeCell ref="C26:C32"/>
    <mergeCell ref="D299:D302"/>
    <mergeCell ref="C320:C322"/>
    <mergeCell ref="C254:C257"/>
    <mergeCell ref="C111:C116"/>
    <mergeCell ref="A166:A167"/>
    <mergeCell ref="C166:C167"/>
    <mergeCell ref="B292:B293"/>
    <mergeCell ref="A168:A169"/>
    <mergeCell ref="C168:C169"/>
    <mergeCell ref="B294:B295"/>
    <mergeCell ref="A197:A204"/>
    <mergeCell ref="C197:C204"/>
    <mergeCell ref="D242:D247"/>
    <mergeCell ref="B248:B250"/>
    <mergeCell ref="B26:B32"/>
    <mergeCell ref="A2:H2"/>
    <mergeCell ref="B254:B257"/>
    <mergeCell ref="D117:D118"/>
    <mergeCell ref="A54:A56"/>
    <mergeCell ref="A14:A19"/>
    <mergeCell ref="C147:C151"/>
    <mergeCell ref="B314:B316"/>
    <mergeCell ref="B96:B99"/>
    <mergeCell ref="D96:D99"/>
    <mergeCell ref="B258:B264"/>
    <mergeCell ref="B329:B335"/>
    <mergeCell ref="A33:A37"/>
    <mergeCell ref="C239:C241"/>
    <mergeCell ref="D73:D75"/>
    <mergeCell ref="A136:A137"/>
    <mergeCell ref="A270:A272"/>
    <mergeCell ref="D38:D42"/>
    <mergeCell ref="C326:C328"/>
    <mergeCell ref="A306:A309"/>
    <mergeCell ref="C68:C72"/>
    <mergeCell ref="B155:B157"/>
    <mergeCell ref="D155:D157"/>
    <mergeCell ref="D326:D328"/>
    <mergeCell ref="B197:B204"/>
    <mergeCell ref="A285:A287"/>
    <mergeCell ref="A26:A32"/>
    <mergeCell ref="C117:C118"/>
    <mergeCell ref="B142:B146"/>
    <mergeCell ref="B80:B84"/>
    <mergeCell ref="D142:D146"/>
    <mergeCell ref="B14:B19"/>
    <mergeCell ref="A85:A88"/>
    <mergeCell ref="B119:B122"/>
    <mergeCell ref="B288:B291"/>
    <mergeCell ref="A296:A298"/>
    <mergeCell ref="B172:B174"/>
    <mergeCell ref="A96:A99"/>
    <mergeCell ref="C96:C99"/>
    <mergeCell ref="B239:B241"/>
    <mergeCell ref="D106:D110"/>
  </mergeCells>
  <conditionalFormatting sqref="G6:H335">
    <cfRule type="cellIs" priority="1" operator="equal" dxfId="5">
      <formula>"V"</formula>
    </cfRule>
    <cfRule type="cellIs" priority="2" operator="equal" dxfId="6">
      <formula>"X"</formula>
    </cfRule>
  </conditionalFormatting>
  <conditionalFormatting sqref="F6:F335">
    <cfRule type="cellIs" priority="3" operator="equal" dxfId="7">
      <formula>"High"</formula>
    </cfRule>
    <cfRule type="cellIs" priority="4" operator="equal" dxfId="8">
      <formula>"Medium"</formula>
    </cfRule>
    <cfRule type="cellIs" priority="5" operator="equal" dxfId="9">
      <formula>"Low"</formula>
    </cfRule>
  </conditionalFormatting>
  <dataValidations count="2">
    <dataValidation sqref="F6:F335" showDropDown="0" showInputMessage="0" showErrorMessage="0" allowBlank="1" type="list">
      <formula1>"High,Medium,Low"</formula1>
    </dataValidation>
    <dataValidation sqref="G6:H335" showDropDown="0" showInputMessage="0" showErrorMessage="0" allowBlank="1" type="list">
      <formula1>"V,X"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62" customWidth="1" min="3" max="3"/>
    <col width="46" customWidth="1" min="4" max="4"/>
    <col width="46" customWidth="1" min="5" max="5"/>
  </cols>
  <sheetData>
    <row r="1" ht="32" customHeight="1">
      <c r="A1" s="78" t="inlineStr">
        <is>
          <t>Spec Questions — to close with the designer before the VP is built</t>
        </is>
      </c>
    </row>
    <row r="2">
      <c r="A2" s="79" t="inlineStr">
        <is>
          <t>Findings from reading specs/stage-control: inconsistencies and gaps that block exact checker expectations.</t>
        </is>
      </c>
    </row>
    <row r="4">
      <c r="A4" s="54" t="inlineStr">
        <is>
          <t>#</t>
        </is>
      </c>
      <c r="B4" s="54" t="inlineStr">
        <is>
          <t>Spec location</t>
        </is>
      </c>
      <c r="C4" s="54" t="inlineStr">
        <is>
          <t>Finding</t>
        </is>
      </c>
      <c r="D4" s="54" t="inlineStr">
        <is>
          <t>Impact on verification</t>
        </is>
      </c>
      <c r="E4" s="54" t="inlineStr">
        <is>
          <t>Question for the designer</t>
        </is>
      </c>
    </row>
    <row r="5" ht="47" customHeight="1">
      <c r="A5" s="80" t="inlineStr">
        <is>
          <t>Q1</t>
        </is>
      </c>
      <c r="B5" s="81" t="inlineStr">
        <is>
          <t>§10 intro, §8, Summary table</t>
        </is>
      </c>
      <c r="C5" s="81" t="inlineStr">
        <is>
          <t>Intro says '11 mnemonics: four LR ops + seven branches'; §8 lists LR ops 'SET/ADD/SUB/INC.MODP2'. The table and §4 list 8 LR ops and 5 branches + HALT (6 COND).</t>
        </is>
      </c>
      <c r="D5" s="81" t="inlineStr">
        <is>
          <t>Stale text – risk that the AL misses or invents an opcode.</t>
        </is>
      </c>
      <c r="E5" s="81" t="inlineStr">
        <is>
          <t>Confirm the final opcode set is 8 LR + 5 branch + HALT.</t>
        </is>
      </c>
    </row>
    <row r="6" ht="34" customHeight="1">
      <c r="A6" s="80" t="inlineStr">
        <is>
          <t>Q2</t>
        </is>
      </c>
      <c r="B6" s="81" t="inlineStr">
        <is>
          <t>§2 diagram vs §4</t>
        </is>
      </c>
      <c r="C6" s="81" t="inlineStr">
        <is>
          <t>Diagram says 'CR file 2 x 16 x 20bit' and 'LR file 16 x 20bit'; §4 REG_WIDTH = 32.</t>
        </is>
      </c>
      <c r="D6" s="81" t="inlineStr">
        <is>
          <t>Width decides all overflow / wrap corners (0xFFFFFFFF vs 20-bit).</t>
        </is>
      </c>
      <c r="E6" s="81" t="inlineStr">
        <is>
          <t>Is every CR/LR 32 bit? (AL assumes 32.)</t>
        </is>
      </c>
    </row>
    <row r="7" ht="34" customHeight="1">
      <c r="A7" s="80" t="inlineStr">
        <is>
          <t>Q3</t>
        </is>
      </c>
      <c r="B7" s="81" t="inlineStr">
        <is>
          <t>§6.3 vs §10.2</t>
        </is>
      </c>
      <c r="C7" s="81" t="inlineStr">
        <is>
          <t>§6.3 / pseudo-code use next_pc = label (absolute). §10.2 says 'label is a relative offset resolved by the assembler'.</t>
        </is>
      </c>
      <c r="D7" s="81" t="inlineStr">
        <is>
          <t>Absolute vs relative changes target computation, wrap and range corners (FET-03).</t>
        </is>
      </c>
      <c r="E7" s="81" t="inlineStr">
        <is>
          <t>Does the label field in IMEM hold an absolute address or a PC-relative offset?</t>
        </is>
      </c>
    </row>
    <row r="8" ht="34" customHeight="1">
      <c r="A8" s="80" t="inlineStr">
        <is>
          <t>Q4</t>
        </is>
      </c>
      <c r="B8" s="81" t="inlineStr">
        <is>
          <t>§1, §10.1.7</t>
        </is>
      </c>
      <c r="C8" s="81" t="inlineStr">
        <is>
          <t>'Up to three local-register writes per cycle', but ADDB/ADDBI write two LRs (the pair) each → up to six.</t>
        </is>
      </c>
      <c r="D8" s="81" t="inlineStr">
        <is>
          <t>Number of LR write ports / pair conflicts (LAN-07, ILL-02).</t>
        </is>
      </c>
      <c r="E8" s="81" t="inlineStr">
        <is>
          <t>Is the LR file 6-write? What happens if pairs overlap other lanes?</t>
        </is>
      </c>
    </row>
    <row r="9" ht="34" customHeight="1">
      <c r="A9" s="80" t="inlineStr">
        <is>
          <t>Q5</t>
        </is>
      </c>
      <c r="B9" s="81" t="inlineStr">
        <is>
          <t>§10.1 (self-reference '§10')</t>
        </is>
      </c>
      <c r="C9" s="81" t="inlineStr">
        <is>
          <t>'Programs must not target the same destination LR from two lanes' – no hardware behavior stated.</t>
        </is>
      </c>
      <c r="D9" s="81" t="inlineStr">
        <is>
          <t>Needed to turn ILL-01 into a checker (lane priority? last lane wins? undefined?).</t>
        </is>
      </c>
      <c r="E9" s="81" t="inlineStr">
        <is>
          <t>Define the behavior or declare it undefined/ignored.</t>
        </is>
      </c>
    </row>
    <row r="10" ht="34" customHeight="1">
      <c r="A10" s="80" t="inlineStr">
        <is>
          <t>Q6</t>
        </is>
      </c>
      <c r="B10" s="81" t="inlineStr">
        <is>
          <t>§3.1</t>
        </is>
      </c>
      <c r="C10" s="81" t="inlineStr">
        <is>
          <t>Reset 'clears any pending LR writes' – LR values after reset are not stated.</t>
        </is>
      </c>
      <c r="D10" s="81" t="inlineStr">
        <is>
          <t>LRF-06 cannot check the post-reset LR value.</t>
        </is>
      </c>
      <c r="E10" s="81" t="inlineStr">
        <is>
          <t>Are LR0..LR15 reset to 0? What is a 'pending LR write'?</t>
        </is>
      </c>
    </row>
    <row r="11" ht="30" customHeight="1">
      <c r="A11" s="80" t="inlineStr">
        <is>
          <t>Q7</t>
        </is>
      </c>
      <c r="B11" s="81" t="inlineStr">
        <is>
          <t>§5, §10.1</t>
        </is>
      </c>
      <c r="C11" s="81" t="inlineStr">
        <is>
          <t>No LR-slot NOP is mentioned (only COND/load NOP).</t>
        </is>
      </c>
      <c r="D11" s="81" t="inlineStr">
        <is>
          <t>LAN-04 assumes an LR NOP encoding.</t>
        </is>
      </c>
      <c r="E11" s="81" t="inlineStr">
        <is>
          <t>How is an unused LR lane encoded?</t>
        </is>
      </c>
    </row>
    <row r="12" ht="47" customHeight="1">
      <c r="A12" s="80" t="inlineStr">
        <is>
          <t>Q8</t>
        </is>
      </c>
      <c r="B12" s="81" t="inlineStr">
        <is>
          <t>§7.1, §9</t>
        </is>
      </c>
      <c r="C12" s="81" t="inlineStr">
        <is>
          <t>xmem_read_en is gated by '!bubble' and refers to '§9.2'; §9 says no hazard interlocks exist and §9.2 does not exist.</t>
        </is>
      </c>
      <c r="D12" s="81" t="inlineStr">
        <is>
          <t>Memory-wait / stall behavior is undefined (group MEM is placeholder only).</t>
        </is>
      </c>
      <c r="E12" s="81" t="inlineStr">
        <is>
          <t>Provide the updated wait/stall mechanism (stall input? bubble counter? who holds PC / LR commit?).</t>
        </is>
      </c>
    </row>
    <row r="13" ht="34" customHeight="1">
      <c r="A13" s="80" t="inlineStr">
        <is>
          <t>Q9</t>
        </is>
      </c>
      <c r="B13" s="81" t="inlineStr">
        <is>
          <t>§10.1.4</t>
        </is>
      </c>
      <c r="C13" s="81" t="inlineStr">
        <is>
          <t>INC.MODP2 k is 4 bits encoded k-1, semantic range 1..9; encodings 9..15 are not described.</t>
        </is>
      </c>
      <c r="D13" s="81" t="inlineStr">
        <is>
          <t>ILL-03 expected result.</t>
        </is>
      </c>
      <c r="E13" s="81" t="inlineStr">
        <is>
          <t>Is the encoding legal-checked, saturated or just masked?</t>
        </is>
      </c>
    </row>
    <row r="14" ht="34" customHeight="1">
      <c r="A14" s="80" t="inlineStr">
        <is>
          <t>Q10</t>
        </is>
      </c>
      <c r="B14" s="81" t="inlineStr">
        <is>
          <t>§10.1.7-8</t>
        </is>
      </c>
      <c r="C14" s="81" t="inlineStr">
        <is>
          <t>Byte-element order inside LRDn is not stated (which LR holds elements 0-3; element 0 = bits [7:0]?).</t>
        </is>
      </c>
      <c r="D14" s="81" t="inlineStr">
        <is>
          <t>ADB/ADI checkers need the exact lane mapping.</t>
        </is>
      </c>
      <c r="E14" s="81" t="inlineStr">
        <is>
          <t>Confirm element i = LRD bits [8i+7:8i], LR(n) = low half.</t>
        </is>
      </c>
    </row>
    <row r="15" ht="47" customHeight="1">
      <c r="A15" s="80" t="inlineStr">
        <is>
          <t>Q11</t>
        </is>
      </c>
      <c r="B15" s="81" t="inlineStr">
        <is>
          <t>§1, §7.1</t>
        </is>
      </c>
      <c r="C15" s="81" t="inlineStr">
        <is>
          <t>The load slot 'has no opcode' yet 'writes into R0/R1/R_CYCLIC/R_MASK' – the destination register is not visible on the CTRL ports (only addr + en).</t>
        </is>
      </c>
      <c r="D15" s="81" t="inlineStr">
        <is>
          <t>Whether CTRL must forward a destination-select with the load.</t>
        </is>
      </c>
      <c r="E15" s="81" t="inlineStr">
        <is>
          <t>Is the destination select part of xmem_read_* or of mult_vliw_bus?</t>
        </is>
      </c>
    </row>
    <row r="16" ht="34" customHeight="1">
      <c r="A16" s="80" t="inlineStr">
        <is>
          <t>Q12</t>
        </is>
      </c>
      <c r="B16" s="81" t="inlineStr">
        <is>
          <t>§6.3, §4</t>
        </is>
      </c>
      <c r="C16" s="81" t="inlineStr">
        <is>
          <t>PC_W = 7 (bank depth 128) but IMEM_DEPTH = 256. Behavior of PC+1 past the last entry is unspecified.</t>
        </is>
      </c>
      <c r="D16" s="81" t="inlineStr">
        <is>
          <t>ILL-04.</t>
        </is>
      </c>
      <c r="E16" s="81" t="inlineStr">
        <is>
          <t>Does PC wrap, stop, or is it illegal?</t>
        </is>
      </c>
    </row>
    <row r="17" ht="34" customHeight="1">
      <c r="A17" s="80" t="inlineStr">
        <is>
          <t>Q13</t>
        </is>
      </c>
      <c r="B17" s="81" t="inlineStr">
        <is>
          <t>§6.4, §3 black box</t>
        </is>
      </c>
      <c r="C17" s="81" t="inlineStr">
        <is>
          <t>Spec cites kernel_done, IPU-EXEC-13 (restart at PC 0) and imem_bank_sel, but none of them is a port of CTRL.</t>
        </is>
      </c>
      <c r="D17" s="81" t="inlineStr">
        <is>
          <t>HLT-04: how are kernel start / done observed and driven?</t>
        </is>
      </c>
      <c r="E17" s="81" t="inlineStr">
        <is>
          <t>Provide the start / done interface (APB register? side-band?).</t>
        </is>
      </c>
    </row>
    <row r="18" ht="34" customHeight="1">
      <c r="A18" s="80" t="inlineStr">
        <is>
          <t>Q14</t>
        </is>
      </c>
      <c r="B18" s="81" t="inlineStr">
        <is>
          <t>§8</t>
        </is>
      </c>
      <c r="C18" s="81" t="inlineStr">
        <is>
          <t>'New active bank takes effect on the next CTRL fetch cycle' – behavior of a swap while a kernel is running is not defined.</t>
        </is>
      </c>
      <c r="D18" s="81" t="inlineStr">
        <is>
          <t>Out of this AL revision (APB), but affects fetch coherence.</t>
        </is>
      </c>
      <c r="E18" s="81" t="inlineStr">
        <is>
          <t>Is swap while running illegal?</t>
        </is>
      </c>
    </row>
    <row r="19" ht="34" customHeight="1">
      <c r="A19" s="80" t="inlineStr">
        <is>
          <t>Q15</t>
        </is>
      </c>
      <c r="B19" s="81" t="inlineStr">
        <is>
          <t>§10.2</t>
        </is>
      </c>
      <c r="C19" s="81" t="inlineStr">
        <is>
          <t>COND pseudo-code reads reg1 and reg2 for every op including BR / HALT; BR reg is also read from the snapshot.</t>
        </is>
      </c>
      <c r="D19" s="81" t="inlineStr">
        <is>
          <t>TIM-02 for BR.</t>
        </is>
      </c>
      <c r="E19" s="81" t="inlineStr">
        <is>
          <t>Confirm BR target reads the same prior-cycle snapshot as the compares.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Attribute List Template</dc:title>
  <dcterms:created xmlns:dcterms="http://purl.org/dc/terms/" xmlns:xsi="http://www.w3.org/2001/XMLSchema-instance" xsi:type="dcterms:W3CDTF">2026-09-28T11:54:19Z</dcterms:created>
  <dcterms:modified xmlns:dcterms="http://purl.org/dc/terms/" xmlns:xsi="http://www.w3.org/2001/XMLSchema-instance" xsi:type="dcterms:W3CDTF">2026-10-22T06:14:41Z</dcterms:modified>
</cp:coreProperties>
</file>